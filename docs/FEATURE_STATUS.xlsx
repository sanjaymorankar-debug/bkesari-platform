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hases" sheetId="2" state="visible" r:id="rId4"/>
    <sheet name="All Features" sheetId="3" state="visible" r:id="rId5"/>
    <sheet name="ATIP Waves" sheetId="4" state="visible" r:id="rId6"/>
    <sheet name="Pull Requests" sheetId="5" state="visible" r:id="rId7"/>
    <sheet name="Branches" sheetId="6" state="visible" r:id="rId8"/>
    <sheet name="Test Runs" sheetId="7" state="visible" r:id="rId9"/>
    <sheet name="Legend" sheetId="8" state="visible" r:id="rId10"/>
  </sheets>
  <definedNames>
    <definedName function="false" hidden="true" localSheetId="2" name="_xlnm._FilterDatabase" vbProcedure="false">'All Features'!$A$1:$S$423</definedName>
    <definedName function="false" hidden="true" localSheetId="3" name="_xlnm._FilterDatabase" vbProcedure="false">'ATIP Waves'!$A$1:$G$46</definedName>
    <definedName function="false" hidden="true" localSheetId="5" name="_xlnm._FilterDatabase" vbProcedure="false">Branches!$A$1:$I$75</definedName>
    <definedName function="false" hidden="true" localSheetId="1" name="_xlnm._FilterDatabase" vbProcedure="false">Phases!$A$4:$R$37</definedName>
    <definedName function="false" hidden="true" localSheetId="4" name="_xlnm._FilterDatabase" vbProcedure="false">'Pull Requests'!$A$1:$J$28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<sst xmlns="http://schemas.openxmlformats.org/spreadsheetml/2006/main" count="8051" uniqueCount="2206">
  <si>
    <t xml:space="preserve">Features, phases and status - ATIP-DEV, bkesari, bkesari-platform</t>
  </si>
  <si>
    <t xml:space="preserve">Status as of 2026-10-09, from the GitHub repositories (sanjaymorankar-debug) and a fresh clone. 'Phases' rolls every feature up by app and phase; the counts are formulas over 'All Features'.</t>
  </si>
  <si>
    <t xml:space="preserve">Repositories</t>
  </si>
  <si>
    <t xml:space="preserve">Repo</t>
  </si>
  <si>
    <t xml:space="preserve">What it is</t>
  </si>
  <si>
    <t xml:space="preserve">Default branch</t>
  </si>
  <si>
    <t xml:space="preserve">Latest commit</t>
  </si>
  <si>
    <t xml:space="preserve">Date</t>
  </si>
  <si>
    <t xml:space="preserve">Latest commit message</t>
  </si>
  <si>
    <t xml:space="preserve">GitHub</t>
  </si>
  <si>
    <t xml:space="preserve">ATIP-DEV</t>
  </si>
  <si>
    <t xml:space="preserve">ATIP - AI Trading Intelligence Platform (Python)</t>
  </si>
  <si>
    <t xml:space="preserve">master</t>
  </si>
  <si>
    <t xml:space="preserve">d01705e</t>
  </si>
  <si>
    <t xml:space="preserve">2026-10-09</t>
  </si>
  <si>
    <t xml:space="preserve">Merge pull request #8: MySQL runtime: translate what cannot translate, quote what MySQL reserves</t>
  </si>
  <si>
    <t xml:space="preserve">https://github.com/sanjaymorankar-debug/ATIP-DEV</t>
  </si>
  <si>
    <t xml:space="preserve">bkesari</t>
  </si>
  <si>
    <t xml:space="preserve">Bkesari shop &amp; milk marketplace (Next.js)</t>
  </si>
  <si>
    <t xml:space="preserve">main</t>
  </si>
  <si>
    <t xml:space="preserve">3cfd098</t>
  </si>
  <si>
    <t xml:space="preserve">Merge pull request #13: fill blank test secrets too, so tests pass after cp .env.example .env</t>
  </si>
  <si>
    <t xml:space="preserve">https://github.com/sanjaymorankar-debug/bkesari</t>
  </si>
  <si>
    <t xml:space="preserve">bkesari-platform</t>
  </si>
  <si>
    <t xml:space="preserve">bkesari.com portal + Education (Node / Laravel)</t>
  </si>
  <si>
    <t xml:space="preserve">362cbc8</t>
  </si>
  <si>
    <t xml:space="preserve">Merge pull request #4: local MySQL setup script, and the Mac guide and status workbook brought up to date</t>
  </si>
  <si>
    <t xml:space="preserve">https://github.com/sanjaymorankar-debug/bkesari-platform</t>
  </si>
  <si>
    <t xml:space="preserve">Features by status (from 'All Features')</t>
  </si>
  <si>
    <t xml:space="preserve">Total features</t>
  </si>
  <si>
    <t xml:space="preserve">On GitHub default branch</t>
  </si>
  <si>
    <t xml:space="preserve">Not merged</t>
  </si>
  <si>
    <t xml:space="preserve">Completed</t>
  </si>
  <si>
    <t xml:space="preserve">Implemented, not verified</t>
  </si>
  <si>
    <t xml:space="preserve">Blocked</t>
  </si>
  <si>
    <t xml:space="preserve">In progress</t>
  </si>
  <si>
    <t xml:space="preserve">In review (open PR)</t>
  </si>
  <si>
    <t xml:space="preserve">In review (draft PR)</t>
  </si>
  <si>
    <t xml:space="preserve">Superseded</t>
  </si>
  <si>
    <t xml:space="preserve">Not started</t>
  </si>
  <si>
    <t xml:space="preserve">TOTAL</t>
  </si>
  <si>
    <t xml:space="preserve">Check: the status columns add up to 'Total features'</t>
  </si>
  <si>
    <t xml:space="preserve">Pull requests (from 'Pull Requests')</t>
  </si>
  <si>
    <t xml:space="preserve">Total PRs</t>
  </si>
  <si>
    <t xml:space="preserve">Merged</t>
  </si>
  <si>
    <t xml:space="preserve">Open - not merged</t>
  </si>
  <si>
    <t xml:space="preserve">Draft - not merged</t>
  </si>
  <si>
    <t xml:space="preserve">Branches on GitHub (from 'Branches')</t>
  </si>
  <si>
    <t xml:space="preserve">Branches</t>
  </si>
  <si>
    <t xml:space="preserve">Fully merged</t>
  </si>
  <si>
    <t xml:space="preserve">Merged (same changes)</t>
  </si>
  <si>
    <t xml:space="preserve">NOT merged</t>
  </si>
  <si>
    <t xml:space="preserve">Read this first</t>
  </si>
  <si>
    <t xml:space="preserve">1. All five PRs that were open on 2026-10-08 (ATIP-DEV#8, bkesari#9 and #10, bkesari-platform#1 and #2) are now merged. bkesari#12, #13 and bkesari-platform#4 followed on 2026-10-09. Open now: bkesari#14 and bkesari-platform#5, both opened on 2026-10-09 by another session (test tooling only).</t>
  </si>
  <si>
    <t xml:space="preserve">2. 'Local Git (fresh clone)' is the clone this report was built from, which matches GitHub. It cannot see commits that exist only on your Mac. Run tools/check_local_git.sh on the Mac to list those (see MAC_DEPLOYMENT.md).</t>
  </si>
  <si>
    <t xml:space="preserve">3. ATIP rows come from the repo's own tracker, docs/ATIP_MASTER_TRACKER.csv (331 rows), plus 6 for the macOS / database PRs. 'IMPLEMENTED BUT NOT VERIFIED' means merged, with automated tests, but independent QA / owner UAT is still pending.</t>
  </si>
  <si>
    <t xml:space="preserve">4. 'Phases' gives one row per phase of each app with its counts, % completed and a phase status. To update a status, change it in the Status column of 'All Features' (it has a drop-down); Phases and this sheet recalculate.</t>
  </si>
  <si>
    <t xml:space="preserve">5. BLOCKED ATIP rows are partly built and wait on an owner decision or credential (see the 'Blocker / next action' column).</t>
  </si>
  <si>
    <t xml:space="preserve">6. The branch claude/epic-brown-iurf1w (this report's own working branch) is left out of 'Branches'.</t>
  </si>
  <si>
    <t xml:space="preserve">7. Testing status: bkesari and Education rows show the result of running their suites on 2026-10-09; ATIP rows keep the tracker's own Testing Status. Every suite passed - see 'Test Runs' (run on Linux, not on a Mac).</t>
  </si>
  <si>
    <t xml:space="preserve">Features by phase</t>
  </si>
  <si>
    <t xml:space="preserve">One row per phase of each app. Every count is a formula over 'All Features', so changing a feature's Status there updates its phase here.</t>
  </si>
  <si>
    <t xml:space="preserve">App</t>
  </si>
  <si>
    <t xml:space="preserve">Phase #</t>
  </si>
  <si>
    <t xml:space="preserve">Phase</t>
  </si>
  <si>
    <t xml:space="preserve">From</t>
  </si>
  <si>
    <t xml:space="preserve">To</t>
  </si>
  <si>
    <t xml:space="preserve">Features</t>
  </si>
  <si>
    <t xml:space="preserve">In review (PR open)</t>
  </si>
  <si>
    <t xml:space="preserve">% completed</t>
  </si>
  <si>
    <t xml:space="preserve">Avg completion % (where recorded)</t>
  </si>
  <si>
    <t xml:space="preserve">Phase status</t>
  </si>
  <si>
    <t xml:space="preserve">ATIP</t>
  </si>
  <si>
    <t xml:space="preserve">Phase 0: Delivered baseline (maintain)</t>
  </si>
  <si>
    <t xml:space="preserve">Phase 1: Foundation</t>
  </si>
  <si>
    <t xml:space="preserve">Phase 2: Quant Research (data, factors, backtesting)</t>
  </si>
  <si>
    <t xml:space="preserve">Phase 3: Strategy Engine</t>
  </si>
  <si>
    <t xml:space="preserve">Phase 4: AI/ML</t>
  </si>
  <si>
    <t xml:space="preserve">Phase 5: Risk &amp; Portfolio</t>
  </si>
  <si>
    <t xml:space="preserve">Phase 6: Execution</t>
  </si>
  <si>
    <t xml:space="preserve">Phase 7: Advanced Quant</t>
  </si>
  <si>
    <t xml:space="preserve">Phase 8: Production hardening</t>
  </si>
  <si>
    <t xml:space="preserve">Phase 9: Enterprise SaaS (final objective)</t>
  </si>
  <si>
    <t xml:space="preserve">Phase 10: Wealth track (Waves 11-20)</t>
  </si>
  <si>
    <t xml:space="preserve">Phase 11: W39 reconciliation (owner tracker 2026-10-07)</t>
  </si>
  <si>
    <t xml:space="preserve">Phase 12: Platform: macOS and MySQL / PostgreSQL (PRs #1-#8)</t>
  </si>
  <si>
    <t xml:space="preserve">Milk &amp; Dairy marketplace</t>
  </si>
  <si>
    <t xml:space="preserve">Phase 1: Core marketplace (19 Aug, PRs #1-#5)</t>
  </si>
  <si>
    <t xml:space="preserve">Phase 2: Roles, 44 shop types, catalogue management, vouchers (20 Aug, PRs #6-#7)</t>
  </si>
  <si>
    <t xml:space="preserve">Phase 3: Compliance, payments, rebrand (21-24 Aug)</t>
  </si>
  <si>
    <t xml:space="preserve">Phase 4: Delivery system (24-25 Aug)</t>
  </si>
  <si>
    <t xml:space="preserve">Phase 5: Brand restore and security (2 Oct, PRs #8, #11)</t>
  </si>
  <si>
    <t xml:space="preserve">Phase 6: MySQL and the bkesari.com hub (8-9 Oct, PRs #9, #10, #12, #13)</t>
  </si>
  <si>
    <t xml:space="preserve">Portal (bkesari.com hub)</t>
  </si>
  <si>
    <t xml:space="preserve">Phase 1: Portal and Task Tracker (16 Sep)</t>
  </si>
  <si>
    <t xml:space="preserve">Phase 2: Database scripts and three tiers (1-2 Oct)</t>
  </si>
  <si>
    <t xml:space="preserve">Phase 3: The bkesari.com hub: dev tier, shared menu, app tabs, CI (8 Oct, PRs #1, #2)</t>
  </si>
  <si>
    <t xml:space="preserve">Phase 4: Mac setup and local tooling (8-9 Oct, PRs #3, #4)</t>
  </si>
  <si>
    <t xml:space="preserve">Education</t>
  </si>
  <si>
    <t xml:space="preserve">Phase 1: Core vertical slice</t>
  </si>
  <si>
    <t xml:space="preserve">Phase 2: Dashboards, admin panel, onboarding</t>
  </si>
  <si>
    <t xml:space="preserve">Phase 3: 2FA, appeals, notifications, analytics</t>
  </si>
  <si>
    <t xml:space="preserve">Phase 4: Student growth, career and life readiness</t>
  </si>
  <si>
    <t xml:space="preserve">Phase 5: School core: UDISE, fees, facilities</t>
  </si>
  <si>
    <t xml:space="preserve">Phase 6: Safeguarding, exams and coaching, health</t>
  </si>
  <si>
    <t xml:space="preserve">Phase 7: International benchmarking, government aggregates</t>
  </si>
  <si>
    <t xml:space="preserve">Phase 8: Accessibility</t>
  </si>
  <si>
    <t xml:space="preserve">Phase 9: Further spec modules (built after the roadmap phases)</t>
  </si>
  <si>
    <t xml:space="preserve">Phase 10: Multilingual (on hold for translators)</t>
  </si>
  <si>
    <t xml:space="preserve">Totals per app</t>
  </si>
  <si>
    <t xml:space="preserve">Phases</t>
  </si>
  <si>
    <t xml:space="preserve">ALL</t>
  </si>
  <si>
    <t xml:space="preserve">Check: phase totals match 'All Features'</t>
  </si>
  <si>
    <t xml:space="preserve">Area</t>
  </si>
  <si>
    <t xml:space="preserve">Feature ID</t>
  </si>
  <si>
    <t xml:space="preserve">Feature</t>
  </si>
  <si>
    <t xml:space="preserve">Details</t>
  </si>
  <si>
    <t xml:space="preserve">Delivered by</t>
  </si>
  <si>
    <t xml:space="preserve">Branch</t>
  </si>
  <si>
    <t xml:space="preserve">On GitHub default branch?</t>
  </si>
  <si>
    <t xml:space="preserve">GitHub status</t>
  </si>
  <si>
    <t xml:space="preserve">Local Git (fresh clone)</t>
  </si>
  <si>
    <t xml:space="preserve">Status</t>
  </si>
  <si>
    <t xml:space="preserve">Testing status</t>
  </si>
  <si>
    <t xml:space="preserve">Completion %</t>
  </si>
  <si>
    <t xml:space="preserve">Blocker / next action</t>
  </si>
  <si>
    <t xml:space="preserve">Link</t>
  </si>
  <si>
    <t xml:space="preserve">Data Platform</t>
  </si>
  <si>
    <t xml:space="preserve">DP-02</t>
  </si>
  <si>
    <t xml:space="preserve">Daily OHLCV history</t>
  </si>
  <si>
    <t xml:space="preserve">NSE Bhavcopy + Dhan; coverage/freshness/duplicate guards</t>
  </si>
  <si>
    <t xml:space="preserve">Tracker wave 2</t>
  </si>
  <si>
    <t xml:space="preserve">Yes</t>
  </si>
  <si>
    <t xml:space="preserve">Merged to master</t>
  </si>
  <si>
    <t xml:space="preserve">In local master</t>
  </si>
  <si>
    <t xml:space="preserve">COMPLETED</t>
  </si>
  <si>
    <t xml:space="preserve">IN PROGRESS</t>
  </si>
  <si>
    <t xml:space="preserve">Maintain</t>
  </si>
  <si>
    <t xml:space="preserve">https://github.com/sanjaymorankar-debug/ATIP-DEV/blob/master/docs/ATIP_MASTER_TRACKER.csv</t>
  </si>
  <si>
    <t xml:space="preserve">DP-07</t>
  </si>
  <si>
    <t xml:space="preserve">Delivery data</t>
  </si>
  <si>
    <t xml:space="preserve">Full Bhavcopy nightly + backfill</t>
  </si>
  <si>
    <t xml:space="preserve">DP-20</t>
  </si>
  <si>
    <t xml:space="preserve">Trading calendar</t>
  </si>
  <si>
    <t xml:space="preserve">2025-26 holidays + budget sessions</t>
  </si>
  <si>
    <t xml:space="preserve">Add next year's holidays each December</t>
  </si>
  <si>
    <t xml:space="preserve">Technical Analysis</t>
  </si>
  <si>
    <t xml:space="preserve">TA-01</t>
  </si>
  <si>
    <t xml:space="preserve">Core indicators</t>
  </si>
  <si>
    <t xml:space="preserve">Computed and stored; MACD fixed and normalised</t>
  </si>
  <si>
    <t xml:space="preserve">Tracker wave 3</t>
  </si>
  <si>
    <t xml:space="preserve">TA-02</t>
  </si>
  <si>
    <t xml:space="preserve">Extended oscillators</t>
  </si>
  <si>
    <t xml:space="preserve">Computed and stored</t>
  </si>
  <si>
    <t xml:space="preserve">TA-05</t>
  </si>
  <si>
    <t xml:space="preserve">Fibonacci</t>
  </si>
  <si>
    <t xml:space="preserve">52-week 23.6/38.2/50/61.8 levels; W39: swing-anchored Fibonacci (last two 5-bar pivots in 120 sessions, 38.2 / 50 / 61.8 levels, nearest level and distance) in technical_ext, shown in the stock panel</t>
  </si>
  <si>
    <t xml:space="preserve">Independent QA</t>
  </si>
  <si>
    <t xml:space="preserve">TA-07</t>
  </si>
  <si>
    <t xml:space="preserve">Trend features</t>
  </si>
  <si>
    <t xml:space="preserve">TA-08</t>
  </si>
  <si>
    <t xml:space="preserve">Relative strength</t>
  </si>
  <si>
    <t xml:space="preserve">20-day RS with date-matched benchmark; W39 (TA-08b): 63 / 126-session RS vs the stock's sector index (NSE industry -&gt; NIFTYIT / PHARMA / AUTO / FMCG / METAL / REALTY / ENERGY / BANK / PSUBANK, NIFTY50 fallback flagged) and percentile within the industry; display only</t>
  </si>
  <si>
    <t xml:space="preserve">Independent QA; IC research before any score use</t>
  </si>
  <si>
    <t xml:space="preserve">Alpha/Factor Engine</t>
  </si>
  <si>
    <t xml:space="preserve">SC-03</t>
  </si>
  <si>
    <t xml:space="preserve">RRI</t>
  </si>
  <si>
    <t xml:space="preserve">Implemented</t>
  </si>
  <si>
    <t xml:space="preserve">Tracker wave 4</t>
  </si>
  <si>
    <t xml:space="preserve">Institutional input improves with SC-14</t>
  </si>
  <si>
    <t xml:space="preserve">SC-04</t>
  </si>
  <si>
    <t xml:space="preserve">MRI</t>
  </si>
  <si>
    <t xml:space="preserve">Implemented; MACD corrected</t>
  </si>
  <si>
    <t xml:space="preserve">SC-07</t>
  </si>
  <si>
    <t xml:space="preserve">ZPI</t>
  </si>
  <si>
    <t xml:space="preserve">Implemented + delivery component</t>
  </si>
  <si>
    <t xml:space="preserve">SC-10</t>
  </si>
  <si>
    <t xml:space="preserve">Portfolio Health score</t>
  </si>
  <si>
    <t xml:space="preserve">Correlation/drawdown inputs come with PF-09 and PF-13</t>
  </si>
  <si>
    <t xml:space="preserve">Portfolio</t>
  </si>
  <si>
    <t xml:space="preserve">PF-05</t>
  </si>
  <si>
    <t xml:space="preserve">Portfolio health</t>
  </si>
  <si>
    <t xml:space="preserve">Implemented + dashboard</t>
  </si>
  <si>
    <t xml:space="preserve">Tracker wave 8</t>
  </si>
  <si>
    <t xml:space="preserve">SC-11</t>
  </si>
  <si>
    <t xml:space="preserve">Trade of the Day</t>
  </si>
  <si>
    <t xml:space="preserve">Implemented; one TOD per session</t>
  </si>
  <si>
    <t xml:space="preserve">SC-15</t>
  </si>
  <si>
    <t xml:space="preserve">Overall ATIP score + rank</t>
  </si>
  <si>
    <t xml:space="preserve">Implemented; rank stored</t>
  </si>
  <si>
    <t xml:space="preserve">SC-17</t>
  </si>
  <si>
    <t xml:space="preserve">Configurable weights</t>
  </si>
  <si>
    <t xml:space="preserve">weight_config table</t>
  </si>
  <si>
    <t xml:space="preserve">Regime-specific rows used by ML-05</t>
  </si>
  <si>
    <t xml:space="preserve">Signal Engine</t>
  </si>
  <si>
    <t xml:space="preserve">SG-02</t>
  </si>
  <si>
    <t xml:space="preserve">Signal validation</t>
  </si>
  <si>
    <t xml:space="preserve">EOD coverage guard; FII/DII hold</t>
  </si>
  <si>
    <t xml:space="preserve">Tracker wave 5</t>
  </si>
  <si>
    <t xml:space="preserve">SG-03</t>
  </si>
  <si>
    <t xml:space="preserve">Signal ranking</t>
  </si>
  <si>
    <t xml:space="preserve">SG-05</t>
  </si>
  <si>
    <t xml:space="preserve">Trade plan</t>
  </si>
  <si>
    <t xml:space="preserve">SG-06</t>
  </si>
  <si>
    <t xml:space="preserve">Outcome tracking</t>
  </si>
  <si>
    <t xml:space="preserve">Implemented; corrected denominator</t>
  </si>
  <si>
    <t xml:space="preserve">SG-07</t>
  </si>
  <si>
    <t xml:space="preserve">Signal provenance log</t>
  </si>
  <si>
    <t xml:space="preserve">Append-only signal_log</t>
  </si>
  <si>
    <t xml:space="preserve">Backtesting</t>
  </si>
  <si>
    <t xml:space="preserve">BT-01</t>
  </si>
  <si>
    <t xml:space="preserve">Historical backtest</t>
  </si>
  <si>
    <t xml:space="preserve">3 bar engines</t>
  </si>
  <si>
    <t xml:space="preserve">Tracker wave 6</t>
  </si>
  <si>
    <t xml:space="preserve">Extended by Phase 2 items</t>
  </si>
  <si>
    <t xml:space="preserve">BT-10</t>
  </si>
  <si>
    <t xml:space="preserve">Win rate / profit factor / expectancy</t>
  </si>
  <si>
    <t xml:space="preserve">Risk Management</t>
  </si>
  <si>
    <t xml:space="preserve">RK-02</t>
  </si>
  <si>
    <t xml:space="preserve">Max order value</t>
  </si>
  <si>
    <t xml:space="preserve">Enforced when configured</t>
  </si>
  <si>
    <t xml:space="preserve">Tracker wave 7</t>
  </si>
  <si>
    <t xml:space="preserve">Set values in config.json</t>
  </si>
  <si>
    <t xml:space="preserve">RK-03</t>
  </si>
  <si>
    <t xml:space="preserve">Max orders per day</t>
  </si>
  <si>
    <t xml:space="preserve">RK-04</t>
  </si>
  <si>
    <t xml:space="preserve">Max open positions</t>
  </si>
  <si>
    <t xml:space="preserve">RK-05</t>
  </si>
  <si>
    <t xml:space="preserve">Symbol exposure limit</t>
  </si>
  <si>
    <t xml:space="preserve">RK-14</t>
  </si>
  <si>
    <t xml:space="preserve">Crash-risk gating</t>
  </si>
  <si>
    <t xml:space="preserve">SELL_CRI_DANGER + strategy use</t>
  </si>
  <si>
    <t xml:space="preserve">Execution</t>
  </si>
  <si>
    <t xml:space="preserve">EX-03</t>
  </si>
  <si>
    <t xml:space="preserve">Position management</t>
  </si>
  <si>
    <t xml:space="preserve">reserve -&gt; place -&gt; apply</t>
  </si>
  <si>
    <t xml:space="preserve">EX-04</t>
  </si>
  <si>
    <t xml:space="preserve">Entry/exit</t>
  </si>
  <si>
    <t xml:space="preserve">strategy/live.py</t>
  </si>
  <si>
    <t xml:space="preserve">EX-05</t>
  </si>
  <si>
    <t xml:space="preserve">Stop loss</t>
  </si>
  <si>
    <t xml:space="preserve">EX-06</t>
  </si>
  <si>
    <t xml:space="preserve">Trailing stop</t>
  </si>
  <si>
    <t xml:space="preserve">Implemented (4.0x ATR)</t>
  </si>
  <si>
    <t xml:space="preserve">EX-07</t>
  </si>
  <si>
    <t xml:space="preserve">Profit booking / partial exit</t>
  </si>
  <si>
    <t xml:space="preserve">Implemented in aggressive strategy</t>
  </si>
  <si>
    <t xml:space="preserve">EX-13</t>
  </si>
  <si>
    <t xml:space="preserve">Paper trading</t>
  </si>
  <si>
    <t xml:space="preserve">Paper broker with slippage</t>
  </si>
  <si>
    <t xml:space="preserve">EX-14</t>
  </si>
  <si>
    <t xml:space="preserve">Live gating</t>
  </si>
  <si>
    <t xml:space="preserve">Broker Integration</t>
  </si>
  <si>
    <t xml:space="preserve">BR-01</t>
  </si>
  <si>
    <t xml:space="preserve">Dhan</t>
  </si>
  <si>
    <t xml:space="preserve">dhanhq integration</t>
  </si>
  <si>
    <t xml:space="preserve">BR-03</t>
  </si>
  <si>
    <t xml:space="preserve">Broker abstraction</t>
  </si>
  <si>
    <t xml:space="preserve">PAPER/SANDBOX/LIVE routing</t>
  </si>
  <si>
    <t xml:space="preserve">Becomes multi-broker interface in ENT-15</t>
  </si>
  <si>
    <t xml:space="preserve">Dashboard</t>
  </si>
  <si>
    <t xml:space="preserve">DB-01</t>
  </si>
  <si>
    <t xml:space="preserve">Market Health panel</t>
  </si>
  <si>
    <t xml:space="preserve">Rendered</t>
  </si>
  <si>
    <t xml:space="preserve">DB-02</t>
  </si>
  <si>
    <t xml:space="preserve">Global Markets panel</t>
  </si>
  <si>
    <t xml:space="preserve">Rendered; snapshot bug fixed</t>
  </si>
  <si>
    <t xml:space="preserve">DB-03</t>
  </si>
  <si>
    <t xml:space="preserve">FII/DII panel</t>
  </si>
  <si>
    <t xml:space="preserve">DB-05</t>
  </si>
  <si>
    <t xml:space="preserve">Sector Rotation</t>
  </si>
  <si>
    <t xml:space="preserve">Heatmap rendered</t>
  </si>
  <si>
    <t xml:space="preserve">DB-07</t>
  </si>
  <si>
    <t xml:space="preserve">Top 25 VPI</t>
  </si>
  <si>
    <t xml:space="preserve">DB-08</t>
  </si>
  <si>
    <t xml:space="preserve">Buy Zone (ZPI)</t>
  </si>
  <si>
    <t xml:space="preserve">DB-09</t>
  </si>
  <si>
    <t xml:space="preserve">Recovery (RRI)</t>
  </si>
  <si>
    <t xml:space="preserve">DB-10</t>
  </si>
  <si>
    <t xml:space="preserve">Momentum Reversal (MRI)</t>
  </si>
  <si>
    <t xml:space="preserve">DB-12</t>
  </si>
  <si>
    <t xml:space="preserve">Portfolio Health panel</t>
  </si>
  <si>
    <t xml:space="preserve">DB-13</t>
  </si>
  <si>
    <t xml:space="preserve">DB-15</t>
  </si>
  <si>
    <t xml:space="preserve">Orders/signals panel</t>
  </si>
  <si>
    <t xml:space="preserve">Rendered with PAPER status</t>
  </si>
  <si>
    <t xml:space="preserve">DB-19</t>
  </si>
  <si>
    <t xml:space="preserve">Hosted read-only snapshot</t>
  </si>
  <si>
    <t xml:space="preserve">publish_snapshot.py</t>
  </si>
  <si>
    <t xml:space="preserve">Superseded by ENT-08 web app</t>
  </si>
  <si>
    <t xml:space="preserve">APIs</t>
  </si>
  <si>
    <t xml:space="preserve">API-01</t>
  </si>
  <si>
    <t xml:space="preserve">Internal REST</t>
  </si>
  <si>
    <t xml:space="preserve">15 FastAPI routes</t>
  </si>
  <si>
    <t xml:space="preserve">Tracker wave 1</t>
  </si>
  <si>
    <t xml:space="preserve">API-02</t>
  </si>
  <si>
    <t xml:space="preserve">Local API authentication</t>
  </si>
  <si>
    <t xml:space="preserve">127.0.0.1 bind + X-ATIP-Token</t>
  </si>
  <si>
    <t xml:space="preserve">Replaced by per-user auth in SEC-02</t>
  </si>
  <si>
    <t xml:space="preserve">Database</t>
  </si>
  <si>
    <t xml:space="preserve">DBS-01</t>
  </si>
  <si>
    <t xml:space="preserve">Schema</t>
  </si>
  <si>
    <t xml:space="preserve">19 SQLite tables</t>
  </si>
  <si>
    <t xml:space="preserve">Migrations via DBS-04</t>
  </si>
  <si>
    <t xml:space="preserve">DBS-02</t>
  </si>
  <si>
    <t xml:space="preserve">Retention/purge</t>
  </si>
  <si>
    <t xml:space="preserve">db/purge.py</t>
  </si>
  <si>
    <t xml:space="preserve">Security</t>
  </si>
  <si>
    <t xml:space="preserve">SEC-01</t>
  </si>
  <si>
    <t xml:space="preserve">Credential handling</t>
  </si>
  <si>
    <t xml:space="preserve">Secrets abstraction (env &gt; .env &gt; atip_data/secrets &gt; legacy config), presence/format validation, name-only access log, rotation dates, masking in logs</t>
  </si>
  <si>
    <t xml:space="preserve">Move legacy plaintext keys out of config.json (owner action)</t>
  </si>
  <si>
    <t xml:space="preserve">Monitoring</t>
  </si>
  <si>
    <t xml:space="preserve">MON-07</t>
  </si>
  <si>
    <t xml:space="preserve">Feed health</t>
  </si>
  <si>
    <t xml:space="preserve">MON-08</t>
  </si>
  <si>
    <t xml:space="preserve">Diagnostics</t>
  </si>
  <si>
    <t xml:space="preserve">/health, /health/live|ready|database|broker|data|scheduler|ml (LIVE/READY/DEGRADED/FAILED); python -m ops status</t>
  </si>
  <si>
    <t xml:space="preserve">Validate</t>
  </si>
  <si>
    <t xml:space="preserve">Deployment/Ops</t>
  </si>
  <si>
    <t xml:space="preserve">OPS-01</t>
  </si>
  <si>
    <t xml:space="preserve">Autostart/scheduling</t>
  </si>
  <si>
    <t xml:space="preserve">Task Scheduler + VBS</t>
  </si>
  <si>
    <t xml:space="preserve">N/A</t>
  </si>
  <si>
    <t xml:space="preserve">Replaced by cloud deploy in OPS-04</t>
  </si>
  <si>
    <t xml:space="preserve">OPS-07</t>
  </si>
  <si>
    <t xml:space="preserve">Snapshot publishing</t>
  </si>
  <si>
    <t xml:space="preserve">DP-09</t>
  </si>
  <si>
    <t xml:space="preserve">India VIX</t>
  </si>
  <si>
    <t xml:space="preserve">Daily INDIAVIX series in prices_daily (421 sessions 2025-01-13..; Dhan history + NSE close nightly); get_vix() = session feed then daily series; no 15.0 default</t>
  </si>
  <si>
    <t xml:space="preserve">None for DP-09; VIX term structure/percentile features belong to later factor work</t>
  </si>
  <si>
    <t xml:space="preserve">DP-17</t>
  </si>
  <si>
    <t xml:space="preserve">Market breadth</t>
  </si>
  <si>
    <t xml:space="preserve">breadth_series(): advances/declines; % advancing; A/D ratio; % above 200-DMA; 52-week new highs/lows over tracked universe; 80% coverage gate; stored in market_health</t>
  </si>
  <si>
    <t xml:space="preserve">Survivorship-free universe (BT-15); sector-level breadth (DP-13)</t>
  </si>
  <si>
    <t xml:space="preserve">SC-09</t>
  </si>
  <si>
    <t xml:space="preserve">Market Health score</t>
  </si>
  <si>
    <t xml:space="preserve">Every MH input is real or left out (index_levels then daily index series; session-own FII/DII; global &lt;=4 days; VIX; breadth); coverage + inputs stored; no score below 50% coverage; upsert keeps portfolio_health; 393 past sessions backfilled</t>
  </si>
  <si>
    <t xml:space="preserve">FII/DII and global history only from 2026-07 (backfilled coverage avg 0.65); determine_signal still defaults a missing MH to 50; model-based regime is ML-05</t>
  </si>
  <si>
    <t xml:space="preserve">SC-08</t>
  </si>
  <si>
    <t xml:space="preserve">ACS</t>
  </si>
  <si>
    <t xml:space="preserve">HistoricalAccuracy = 90-day 5-session hit rate from outcomes known by the scored day (min 5); NewsConfidence only from AI-classified news with no look-ahead; missing inputs left out (no 50/60 stand-ins)</t>
  </si>
  <si>
    <t xml:space="preserve">NewsConfidence stays absent until NS-02 (Anthropic key) classifies news</t>
  </si>
  <si>
    <t xml:space="preserve">MON-01</t>
  </si>
  <si>
    <t xml:space="preserve">Job logging</t>
  </si>
  <si>
    <t xml:space="preserve">run_job records every run (start/end/duration/rows/status/error); returned FAILED is a failure; EMPTY status</t>
  </si>
  <si>
    <t xml:space="preserve">Record failures, end time, row counts</t>
  </si>
  <si>
    <t xml:space="preserve">MON-02</t>
  </si>
  <si>
    <t xml:space="preserve">Stalled-job detection</t>
  </si>
  <si>
    <t xml:space="preserve">pipeline/health.py expectations: MISSED/STALLED/FAILING/EMPTY; every 30 min</t>
  </si>
  <si>
    <t xml:space="preserve">Expected-run table + missed-run check</t>
  </si>
  <si>
    <t xml:space="preserve">MON-03</t>
  </si>
  <si>
    <t xml:space="preserve">Failure alerting</t>
  </si>
  <si>
    <t xml:space="preserve">alert_log + dashboard panel + Telegram when configured; daily de-dup; token scrubbed</t>
  </si>
  <si>
    <t xml:space="preserve">Configure Telegram; alert on failure/stall</t>
  </si>
  <si>
    <t xml:space="preserve">DB-14</t>
  </si>
  <si>
    <t xml:space="preserve">Alerts / morning brief</t>
  </si>
  <si>
    <t xml:space="preserve">Brief recorded for the dashboard + Telegram; pipeline-health section (outside W1, same tree)</t>
  </si>
  <si>
    <t xml:space="preserve">Deliver digest; verify daily</t>
  </si>
  <si>
    <t xml:space="preserve">RK-15</t>
  </si>
  <si>
    <t xml:space="preserve">Risk alerts</t>
  </si>
  <si>
    <t xml:space="preserve">Alerts on halt/resume and on halted or limit-refused orders (outside W1, same tree)</t>
  </si>
  <si>
    <t xml:space="preserve">Alert on halt, limit breach, CRI spike</t>
  </si>
  <si>
    <t xml:space="preserve">MON-06</t>
  </si>
  <si>
    <t xml:space="preserve">Log rotation</t>
  </si>
  <si>
    <t xml:space="preserve">SafeRotatingFileHandler 20 MB x 10, survives refused rename (outside W1, same tree)</t>
  </si>
  <si>
    <t xml:space="preserve">RotatingFileHandler</t>
  </si>
  <si>
    <t xml:space="preserve">DBS-06</t>
  </si>
  <si>
    <t xml:space="preserve">Timestamp consistency</t>
  </si>
  <si>
    <t xml:space="preserve">Convention documented (IST; created_at UTC); news UTC-&gt;IST; status query fixed; repair tool</t>
  </si>
  <si>
    <t xml:space="preserve">Normalise; fix news recency</t>
  </si>
  <si>
    <t xml:space="preserve">News/Sentiment</t>
  </si>
  <si>
    <t xml:space="preserve">NS-01</t>
  </si>
  <si>
    <t xml:space="preserve">News ingestion</t>
  </si>
  <si>
    <t xml:space="preserve">News first + morning catch-up; de-dup; per-feed status; 4 more RSS feeds</t>
  </si>
  <si>
    <t xml:space="preserve">Fix job; add second source; health check</t>
  </si>
  <si>
    <t xml:space="preserve">OPS-03</t>
  </si>
  <si>
    <t xml:space="preserve">Install/setup</t>
  </si>
  <si>
    <t xml:space="preserve">ta not pandas-ta everywhere; requirements-dev.txt; CI httpx; config template; docs/DEV_SETUP.md</t>
  </si>
  <si>
    <t xml:space="preserve">YET TO START</t>
  </si>
  <si>
    <t xml:space="preserve">Fix requirements/setup; pin versions</t>
  </si>
  <si>
    <t xml:space="preserve">EX-01</t>
  </si>
  <si>
    <t xml:space="preserve">Order management tests</t>
  </si>
  <si>
    <t xml:space="preserve">orders/rules.py (944 lines) without tests</t>
  </si>
  <si>
    <t xml:space="preserve">OPS-02</t>
  </si>
  <si>
    <t xml:space="preserve">CI + end-to-end test</t>
  </si>
  <si>
    <t xml:space="preserve">GitHub Actions; ~270 test functions; no E2E</t>
  </si>
  <si>
    <t xml:space="preserve">Independent QA; network download steps are exercised only live</t>
  </si>
  <si>
    <t xml:space="preserve">DP-15</t>
  </si>
  <si>
    <t xml:space="preserve">Fundamentals</t>
  </si>
  <si>
    <t xml:space="preserve">W27: NSE integrated-filing XBRL (owner decision: NSE, not Screener) -&gt; fundamental_filing (per-filing facts, point in time) -&gt; fundamental_data per quarter: revenue/profit/EPS, YoY/QoQ, margins, TTM EPS, ROE/ROCE/ROA, D/E, current ratio, coverage, FY FCF, book value, shares; bank taxonomy handled; incremental; weekly over the tracked universe</t>
  </si>
  <si>
    <t xml:space="preserve">IMPLEMENTED BUT NOT VERIFIED</t>
  </si>
  <si>
    <t xml:space="preserve">First full backfill (python -m data.nse_filings, ~1 h); --history for pre-2025 quarters; QA</t>
  </si>
  <si>
    <t xml:space="preserve">SC-13</t>
  </si>
  <si>
    <t xml:space="preserve">Fundamental Score</t>
  </si>
  <si>
    <t xml:space="preserve">W27 scores/fundamental.compute_fs: Valuation(P/E inv), P/B inv, operating margin, profit QoQ, interest coverage, current ratio; valued at the session close; None below 3 inputs (no 50.0 default); FS weight set seeded</t>
  </si>
  <si>
    <t xml:space="preserve">Enable fundamentals.score_enabled after QA; IC study once history exists</t>
  </si>
  <si>
    <t xml:space="preserve">SC-02</t>
  </si>
  <si>
    <t xml:space="preserve">SPI</t>
  </si>
  <si>
    <t xml:space="preserve">W27 SPI (Stability Profit Index) on the seeded SPI weights: ROE, ROCE, EPS YoY, revenue YoY, FCF conversion, D/E inv, PEG inv, Quality (profitable-quarter share + margin stability); separate from FS -- double weighting removed</t>
  </si>
  <si>
    <t xml:space="preserve">Enable after QA; measure SPI/FS correlation (QR-03)</t>
  </si>
  <si>
    <t xml:space="preserve">SC-05</t>
  </si>
  <si>
    <t xml:space="preserve">CRI debt input</t>
  </si>
  <si>
    <t xml:space="preserve">Implemented; Debt input missing</t>
  </si>
  <si>
    <t xml:space="preserve">Feed Debt/Equity</t>
  </si>
  <si>
    <t xml:space="preserve">SC-01</t>
  </si>
  <si>
    <t xml:space="preserve">VPI inputs</t>
  </si>
  <si>
    <t xml:space="preserve">Implemented; FG/IS inputs weak</t>
  </si>
  <si>
    <t xml:space="preserve">Real Fundamental Growth input</t>
  </si>
  <si>
    <t xml:space="preserve">PF-01</t>
  </si>
  <si>
    <t xml:space="preserve">Portfolio ingestion</t>
  </si>
  <si>
    <t xml:space="preserve">portfolio_sync records each attempt and reason (DH-901 named); qty/avg update; sold removed</t>
  </si>
  <si>
    <t xml:space="preserve">Scheduled reliable sync + token handling</t>
  </si>
  <si>
    <t xml:space="preserve">BR-04</t>
  </si>
  <si>
    <t xml:space="preserve">Portfolio sync schedule</t>
  </si>
  <si>
    <t xml:space="preserve">Morning catch-up re-sync; Zerodha SKIPPED when not connected; health expects SUCCESS</t>
  </si>
  <si>
    <t xml:space="preserve">Scheduled sync with alert on failure</t>
  </si>
  <si>
    <t xml:space="preserve">PF-02</t>
  </si>
  <si>
    <t xml:space="preserve">Holdings &amp; P&amp;L</t>
  </si>
  <si>
    <t xml:space="preserve">portfolio/pnl.py PAPER + LIVE books marked to market; /api/pnl</t>
  </si>
  <si>
    <t xml:space="preserve">Realised + unrealised P&amp;L</t>
  </si>
  <si>
    <t xml:space="preserve">PF-13</t>
  </si>
  <si>
    <t xml:space="preserve">Daily P&amp;L series</t>
  </si>
  <si>
    <t xml:space="preserve">pnl_daily equity/day P&amp;L/peak/drawdown per env; post-market daily_pnl job</t>
  </si>
  <si>
    <t xml:space="preserve">Daily P&amp;L table; EOD job</t>
  </si>
  <si>
    <t xml:space="preserve">RK-13</t>
  </si>
  <si>
    <t xml:space="preserve">Risk-based sizing wired to orders</t>
  </si>
  <si>
    <t xml:space="preserve">size_position() pure + size_for_account(); quantity_type RISK in order rules</t>
  </si>
  <si>
    <t xml:space="preserve">Use size in order path</t>
  </si>
  <si>
    <t xml:space="preserve">RK-07</t>
  </si>
  <si>
    <t xml:space="preserve">Daily loss limit</t>
  </si>
  <si>
    <t xml:space="preserve">max_daily_loss_value blocks BUYs; unmeasurable blocks</t>
  </si>
  <si>
    <t xml:space="preserve">Limit on PF-13; auto-halt</t>
  </si>
  <si>
    <t xml:space="preserve">RK-08</t>
  </si>
  <si>
    <t xml:space="preserve">Drawdown limit</t>
  </si>
  <si>
    <t xml:space="preserve">max_drawdown_pct blocks BUYs; unmeasurable blocks</t>
  </si>
  <si>
    <t xml:space="preserve">Peak-to-trough on PF-13; auto-halt</t>
  </si>
  <si>
    <t xml:space="preserve">DBS-03</t>
  </si>
  <si>
    <t xml:space="preserve">Backups</t>
  </si>
  <si>
    <t xml:space="preserve">ops/backup.py: daily online SQLite backup (19:15) VERIFIED by integrity_check + key-table counts + sha256 (ops_backup); 7 daily + 4 weekly retention of its own files only; restore to a NEW file; python -m ops backup/restore/verify</t>
  </si>
  <si>
    <t xml:space="preserve">Off-machine copy of backups; restore drill</t>
  </si>
  <si>
    <t xml:space="preserve">DP-06</t>
  </si>
  <si>
    <t xml:space="preserve">Corporate actions open items</t>
  </si>
  <si>
    <t xml:space="preserve">NSE CA calendar; reconciliation; volume re-base</t>
  </si>
  <si>
    <t xml:space="preserve">TVSMOTOR scheme; renamed symbols</t>
  </si>
  <si>
    <t xml:space="preserve">TA-06</t>
  </si>
  <si>
    <t xml:space="preserve">Support/Resistance</t>
  </si>
  <si>
    <t xml:space="preserve">W21: fractal pivots over 120 sessions, mean-anchored clusters, nearest confirmed support/resistance with touches and distance</t>
  </si>
  <si>
    <t xml:space="preserve">QA; optionally feed the Technical Score SR component</t>
  </si>
  <si>
    <t xml:space="preserve">DP-19</t>
  </si>
  <si>
    <t xml:space="preserve">Data quality layer</t>
  </si>
  <si>
    <t xml:space="preserve">data/quality.py 12 checks + DQS per session; data_quality table; post-market; alert</t>
  </si>
  <si>
    <t xml:space="preserve">DQS table; outlier and timestamp checks</t>
  </si>
  <si>
    <t xml:space="preserve">DBS-04</t>
  </si>
  <si>
    <t xml:space="preserve">Schema migrations</t>
  </si>
  <si>
    <t xml:space="preserve">schema_migrations (version, checksum, applied_at, duration, status, rollback note); 0001 baseline, 0002 W8 tables, 0003 indexes, 0004 append-only audit triggers; drift detection; additive layer now runs once per process (W7-R8)</t>
  </si>
  <si>
    <t xml:space="preserve">Down-migration scripts beyond rollback notes (policy: restore pre-release backup)</t>
  </si>
  <si>
    <t xml:space="preserve">DP-01</t>
  </si>
  <si>
    <t xml:space="preserve">Live market data</t>
  </si>
  <si>
    <t xml:space="preserve">W27 data/stock_feed.py: supervised Dhan Quote WebSocket for up to 100 symbols (holdings, positions, order rules, top-25), REST failover when parked/dead/silent, live_feed_status; off by default (live_feed.stocks_enabled)</t>
  </si>
  <si>
    <t xml:space="preserve">Enable and observe one live session (cannot be exercised outside market hours)</t>
  </si>
  <si>
    <t xml:space="preserve">DP-03</t>
  </si>
  <si>
    <t xml:space="preserve">Intraday bars</t>
  </si>
  <si>
    <t xml:space="preserve">W21: intraday_bars stores the 30-min job's 15-min bars (was discarded); 90-day retention</t>
  </si>
  <si>
    <t xml:space="preserve">QA; consider 5-min bars for session VWAP</t>
  </si>
  <si>
    <t xml:space="preserve">TA-03</t>
  </si>
  <si>
    <t xml:space="preserve">VWAP</t>
  </si>
  <si>
    <t xml:space="preserve">W21: vwap_20d, vwap_session (intraday bars), vwap_dev_pct in technical_ext; strategy feature vwap_dev_pct</t>
  </si>
  <si>
    <t xml:space="preserve">Owner: technical.vwap_in_score (changes scores); QA</t>
  </si>
  <si>
    <t xml:space="preserve">SC-12</t>
  </si>
  <si>
    <t xml:space="preserve">Technical Score VWAP input</t>
  </si>
  <si>
    <t xml:space="preserve">Implemented; VWAP weight dead</t>
  </si>
  <si>
    <t xml:space="preserve">Include VWAP</t>
  </si>
  <si>
    <t xml:space="preserve">TA-04</t>
  </si>
  <si>
    <t xml:space="preserve">Volume Profile</t>
  </si>
  <si>
    <t xml:space="preserve">W21: volume profile POC/VAH/VAL over 20 sessions (intraday or daily basis)</t>
  </si>
  <si>
    <t xml:space="preserve">QA</t>
  </si>
  <si>
    <t xml:space="preserve">TA-10</t>
  </si>
  <si>
    <t xml:space="preserve">Multi-timeframe analysis</t>
  </si>
  <si>
    <t xml:space="preserve">W21: weekly RSI/trend, monthly trend, mtf_alignment -3..+3</t>
  </si>
  <si>
    <t xml:space="preserve">TA-12</t>
  </si>
  <si>
    <t xml:space="preserve">Full-history indicator panel</t>
  </si>
  <si>
    <t xml:space="preserve">W21: python -m data.technical --backfill N (tracked universe, resumable)</t>
  </si>
  <si>
    <t xml:space="preserve">Run the backfill (owner timing; copy first)</t>
  </si>
  <si>
    <t xml:space="preserve">AF-03</t>
  </si>
  <si>
    <t xml:space="preserve">Factor panel persistence</t>
  </si>
  <si>
    <t xml:space="preserve">W22: score_components stores every ATIP index's sub-components per symbol/date (weighted_score label capture; scores unchanged)</t>
  </si>
  <si>
    <t xml:space="preserve">AF-04</t>
  </si>
  <si>
    <t xml:space="preserve">Standalone factor families</t>
  </si>
  <si>
    <t xml:space="preserve">W22: 11 standalone factors: mean reversion, trend, volume, recovery, risk (BRI)</t>
  </si>
  <si>
    <t xml:space="preserve">QA; research on full history</t>
  </si>
  <si>
    <t xml:space="preserve">AF-02</t>
  </si>
  <si>
    <t xml:space="preserve">Normalisation contract</t>
  </si>
  <si>
    <t xml:space="preserve">W6 quant/normalize.py per-factor spec (winsorize/zscore/percentile/rank/minmax/sector/neutralize) -- tracker was stale</t>
  </si>
  <si>
    <t xml:space="preserve">AF-01</t>
  </si>
  <si>
    <t xml:space="preserve">Factor library/registry</t>
  </si>
  <si>
    <t xml:space="preserve">W6 registry quant_factor + factor sets + content-hash versioning (tracker was stale); W22 adds 11 factors</t>
  </si>
  <si>
    <t xml:space="preserve">SC-18</t>
  </si>
  <si>
    <t xml:space="preserve">Formula registry/versioning</t>
  </si>
  <si>
    <t xml:space="preserve">W22: formula_registry resolves each signal_log weights_hash to the full weight set + code version</t>
  </si>
  <si>
    <t xml:space="preserve">DBS-07</t>
  </si>
  <si>
    <t xml:space="preserve">Research registry tables</t>
  </si>
  <si>
    <t xml:space="preserve">W22: research_study + research_link registry, frozen on conclusion</t>
  </si>
  <si>
    <t xml:space="preserve">Quant Research</t>
  </si>
  <si>
    <t xml:space="preserve">QR-01</t>
  </si>
  <si>
    <t xml:space="preserve">Information coefficient</t>
  </si>
  <si>
    <t xml:space="preserve">W22: backfill_scores + research_report run IC for every factor</t>
  </si>
  <si>
    <t xml:space="preserve">Run full-history backfill + report</t>
  </si>
  <si>
    <t xml:space="preserve">QR-02</t>
  </si>
  <si>
    <t xml:space="preserve">IC decay / half-life</t>
  </si>
  <si>
    <t xml:space="preserve">W22: IC decay 1/5/10/20 for every factor in research_report</t>
  </si>
  <si>
    <t xml:space="preserve">Run on full history</t>
  </si>
  <si>
    <t xml:space="preserve">QR-03</t>
  </si>
  <si>
    <t xml:space="preserve">Factor correlation/redundancy</t>
  </si>
  <si>
    <t xml:space="preserve">W22: redundancy report (pairs |rho|&gt;=0.7) in research_report</t>
  </si>
  <si>
    <t xml:space="preserve">QR-04</t>
  </si>
  <si>
    <t xml:space="preserve">Statistical toolkit</t>
  </si>
  <si>
    <t xml:space="preserve">statarb (OLS, ADF, Engle-Granger, half-life, z) + normalize + volatility estimators</t>
  </si>
  <si>
    <t xml:space="preserve">AF-08</t>
  </si>
  <si>
    <t xml:space="preserve">Factor approval gate</t>
  </si>
  <si>
    <t xml:space="preserve">W22: evidence-based approval gate, decision history, lifecycle enforcement behind quant.require_approved_factors</t>
  </si>
  <si>
    <t xml:space="preserve">Owner: enable after review</t>
  </si>
  <si>
    <t xml:space="preserve">BT-16</t>
  </si>
  <si>
    <t xml:space="preserve">Dated equity curve / run records</t>
  </si>
  <si>
    <t xml:space="preserve">backtest_run snapshot+hash, code version, data fingerprint; trades/equity/drawdowns tables</t>
  </si>
  <si>
    <t xml:space="preserve">Dated trades + equity curve + run table</t>
  </si>
  <si>
    <t xml:space="preserve">BT-08</t>
  </si>
  <si>
    <t xml:space="preserve">Portfolio-level backtest</t>
  </si>
  <si>
    <t xml:space="preserve">Portfolio engine: cash, positions, sizing (W1 size_position), exposure, dated equity</t>
  </si>
  <si>
    <t xml:space="preserve">Portfolio simulator</t>
  </si>
  <si>
    <t xml:space="preserve">BT-09</t>
  </si>
  <si>
    <t xml:space="preserve">Drawdown analysis</t>
  </si>
  <si>
    <t xml:space="preserve">Drawdown series, max DD, episodes with duration/recovery on dated equity</t>
  </si>
  <si>
    <t xml:space="preserve">Compute on equity curve</t>
  </si>
  <si>
    <t xml:space="preserve">BT-11</t>
  </si>
  <si>
    <t xml:space="preserve">Sharpe/Sortino/CAGR/Calmar</t>
  </si>
  <si>
    <t xml:space="preserve">Return, CAGR, vol, Sharpe, Sortino, Calmar, trade stats; conventions documented</t>
  </si>
  <si>
    <t xml:space="preserve">Implement</t>
  </si>
  <si>
    <t xml:space="preserve">BT-12</t>
  </si>
  <si>
    <t xml:space="preserve">VaR/CVaR in backtest</t>
  </si>
  <si>
    <t xml:space="preserve">W23: historical VaR/CVaR 95/99, parametric VaR, skew, kurtosis in every backtest's metrics</t>
  </si>
  <si>
    <t xml:space="preserve">BT-05</t>
  </si>
  <si>
    <t xml:space="preserve">Itemised costs</t>
  </si>
  <si>
    <t xml:space="preserve">Itemised NSE cost model (delivery/intraday/flat/zero), central config</t>
  </si>
  <si>
    <t xml:space="preserve">Indian cost model shared by backtest and paper</t>
  </si>
  <si>
    <t xml:space="preserve">BT-06</t>
  </si>
  <si>
    <t xml:space="preserve">Slippage in backtest</t>
  </si>
  <si>
    <t xml:space="preserve">none / fixed / pct slippage, default = paper broker 5 bps</t>
  </si>
  <si>
    <t xml:space="preserve">Shared slippage model</t>
  </si>
  <si>
    <t xml:space="preserve">BT-07</t>
  </si>
  <si>
    <t xml:space="preserve">Liquidity constraints</t>
  </si>
  <si>
    <t xml:space="preserve">Volume participation cap/reject + prior-bar turnover floor</t>
  </si>
  <si>
    <t xml:space="preserve">All engines</t>
  </si>
  <si>
    <t xml:space="preserve">DP-18</t>
  </si>
  <si>
    <t xml:space="preserve">Survivorship-free universe</t>
  </si>
  <si>
    <t xml:space="preserve">Current NIFTY 500 download</t>
  </si>
  <si>
    <t xml:space="preserve">Store constituent history</t>
  </si>
  <si>
    <t xml:space="preserve">BT-15</t>
  </si>
  <si>
    <t xml:space="preserve">Bias controls</t>
  </si>
  <si>
    <t xml:space="preserve">Point-in-time view + LookAheadError, next-open fills, data/timestamp validation, survivorship flag</t>
  </si>
  <si>
    <t xml:space="preserve">Systematic checks</t>
  </si>
  <si>
    <t xml:space="preserve">BT-03</t>
  </si>
  <si>
    <t xml:space="preserve">In/out-of-sample</t>
  </si>
  <si>
    <t xml:space="preserve">Ordered non-overlapping research/validation/test; test needs allow_test; re-test flagged</t>
  </si>
  <si>
    <t xml:space="preserve">Formal splits</t>
  </si>
  <si>
    <t xml:space="preserve">BT-02</t>
  </si>
  <si>
    <t xml:space="preserve">Walk-forward</t>
  </si>
  <si>
    <t xml:space="preserve">Rolling windows, candidate selection on validation, stitched OOS; no optimiser</t>
  </si>
  <si>
    <t xml:space="preserve">BT-13</t>
  </si>
  <si>
    <t xml:space="preserve">Monte Carlo</t>
  </si>
  <si>
    <t xml:space="preserve">Seeded trade shuffle + return bootstrap; percentiles, P(loss), disclaimer</t>
  </si>
  <si>
    <t xml:space="preserve">BT-04</t>
  </si>
  <si>
    <t xml:space="preserve">Parameter optimisation</t>
  </si>
  <si>
    <t xml:space="preserve">W23: grid / random / adaptive optimiser with trial runs, test-window refusal, Deflated Sharpe + overfit warning</t>
  </si>
  <si>
    <t xml:space="preserve">QA; optional true Bayesian search</t>
  </si>
  <si>
    <t xml:space="preserve">QR-11</t>
  </si>
  <si>
    <t xml:space="preserve">Parameter sensitivity</t>
  </si>
  <si>
    <t xml:space="preserve">W23: one-at-a-time sensitivity curves, stability, knife-edge flags, 2-D heat map. W39b: a +-1 step neighbour with fewer than min_trades trades (or a failed run) is listed in thin_neighbours / thin_edges (study summary and CLI too) instead of vanishing; knife_edge and robust_share still compare only neighbours that have a metric</t>
  </si>
  <si>
    <t xml:space="preserve">BT-14</t>
  </si>
  <si>
    <t xml:space="preserve">Robustness</t>
  </si>
  <si>
    <t xml:space="preserve">W23: robustness battery (costs x2, slippage x3, universe halves, period halves, regimes, Monte Carlo) with verdict. W39b: backtest/cpcv.py -- combinatorial purged cross-validation (N groups, k test groups, purge + embargo per AFML 7.4, C(N-1,k-1) out-of-sample paths with their distribution) and PBO by CSCV (Bailey et al.: logits, degradation regression, probability of loss; from a matrix or an optimisation's trials); python -m backtest cpcv | pbo; POST /api/backtests/cpcv and /api/backtests/{id}/pbo</t>
  </si>
  <si>
    <t xml:space="preserve">Independent QA; the stochastic-dominance test is not implemented; CPCV runs on the W2 engine only</t>
  </si>
  <si>
    <t xml:space="preserve">QR-12</t>
  </si>
  <si>
    <t xml:space="preserve">Reproducibility / experiment tracking</t>
  </si>
  <si>
    <t xml:space="preserve">W6 experiments + W22 studies linking experiments/backtests/research</t>
  </si>
  <si>
    <t xml:space="preserve">QR-07</t>
  </si>
  <si>
    <t xml:space="preserve">Momentum/trend research</t>
  </si>
  <si>
    <t xml:space="preserve">W23: momentum breakout strategy + end-to-end study (optimise/validate/sensitivity/robustness/test)</t>
  </si>
  <si>
    <t xml:space="preserve">Run full-universe study; review</t>
  </si>
  <si>
    <t xml:space="preserve">QR-08</t>
  </si>
  <si>
    <t xml:space="preserve">Mean-reversion research</t>
  </si>
  <si>
    <t xml:space="preserve">W23: RSI(2) mean-reversion strategy + study; 12-stock smoke: REJECTED out of sample</t>
  </si>
  <si>
    <t xml:space="preserve">QR-13</t>
  </si>
  <si>
    <t xml:space="preserve">Signal outcome research by regime</t>
  </si>
  <si>
    <t xml:space="preserve">success_report keyed on signal/threshold</t>
  </si>
  <si>
    <t xml:space="preserve">Add regime/ACS buckets</t>
  </si>
  <si>
    <t xml:space="preserve">TA-09</t>
  </si>
  <si>
    <t xml:space="preserve">Beta 3y / rolling 60</t>
  </si>
  <si>
    <t xml:space="preserve">W21: beta_60, beta_downside, beta_long (&gt;=500 sessions)</t>
  </si>
  <si>
    <t xml:space="preserve">Owner: prices_daily retention &gt;= 1,100 days for a 3-year beta</t>
  </si>
  <si>
    <t xml:space="preserve">SC-16</t>
  </si>
  <si>
    <t xml:space="preserve">Beta Risk Index</t>
  </si>
  <si>
    <t xml:space="preserve">W21: Beta Risk Index 0-100 (level, downside, instability); strategy feature bri</t>
  </si>
  <si>
    <t xml:space="preserve">QA; decide if it joins a composite</t>
  </si>
  <si>
    <t xml:space="preserve">TA-11</t>
  </si>
  <si>
    <t xml:space="preserve">Extended indicator catalogue</t>
  </si>
  <si>
    <t xml:space="preserve">W21: Supertrend, Ichimoku, Keltner, Donchian, MFI, CMF, ROC, Aroon, PSAR; stoch/Williams %R/CCI now computed</t>
  </si>
  <si>
    <t xml:space="preserve">DP-08</t>
  </si>
  <si>
    <t xml:space="preserve">Derivatives data</t>
  </si>
  <si>
    <t xml:space="preserve">W35: data/derivatives_store.py -- every F&amp;O contract to lake "fo_bhavcopy"; fo_contract_daily (futures + nearest 2 option expiries, all strikes, contract IV); NSE option-chain intraday snapshots (derivatives.option_chain_enabled, off) + lake "option_chain"</t>
  </si>
  <si>
    <t xml:space="preserve">QA; verify NSE option-chain fields live</t>
  </si>
  <si>
    <t xml:space="preserve">SC-06</t>
  </si>
  <si>
    <t xml:space="preserve">MSI</t>
  </si>
  <si>
    <t xml:space="preserve">W27: MSI Options uses the session's real NIFTY PCR (OI) from the NSE F&amp;O bhavcopy; component dropped when missing (was a constant 1.0)</t>
  </si>
  <si>
    <t xml:space="preserve">AI news input to MSI (W28, NS-*)</t>
  </si>
  <si>
    <t xml:space="preserve">DP-10</t>
  </si>
  <si>
    <t xml:space="preserve">FII/DII history</t>
  </si>
  <si>
    <t xml:space="preserve">Session flows; only 7 sessions history</t>
  </si>
  <si>
    <t xml:space="preserve">Historical backfill source</t>
  </si>
  <si>
    <t xml:space="preserve">DP-11</t>
  </si>
  <si>
    <t xml:space="preserve">GIFT Nifty</t>
  </si>
  <si>
    <t xml:space="preserve">W21: daily GIFTNIFTY close from index_levels into prices_daily</t>
  </si>
  <si>
    <t xml:space="preserve">Pre-open panel (DB-04)</t>
  </si>
  <si>
    <t xml:space="preserve">DB-04</t>
  </si>
  <si>
    <t xml:space="preserve">GIFT Nifty panel</t>
  </si>
  <si>
    <t xml:space="preserve">W27 /market page pre-open view: GIFT Nifty, implied gap vs Nifty close, GIFT daily series, overnight global + US yields, NIFTY/BANKNIFTY PCR + max pain, FII/DII</t>
  </si>
  <si>
    <t xml:space="preserve">DP-12</t>
  </si>
  <si>
    <t xml:space="preserve">Global markets</t>
  </si>
  <si>
    <t xml:space="preserve">W27: US 3M/5Y/30Y yields added (10Y existed); global_market_history (daily closes of every series, appended each run, backfill 1y-max); /api/market/global-history</t>
  </si>
  <si>
    <t xml:space="preserve">India 10Y G-sec: no reliable free source via yfinance (left out, not approximated)</t>
  </si>
  <si>
    <t xml:space="preserve">DP-13</t>
  </si>
  <si>
    <t xml:space="preserve">Sector data</t>
  </si>
  <si>
    <t xml:space="preserve">W21: 8 sector index series in the daily Dhan sync + sector_breadth table</t>
  </si>
  <si>
    <t xml:space="preserve">Run --backfill-sectors; QA</t>
  </si>
  <si>
    <t xml:space="preserve">DP-16</t>
  </si>
  <si>
    <t xml:space="preserve">Institutional data</t>
  </si>
  <si>
    <t xml:space="preserve">W27 data/institutional.py: NSE shareholding pattern (+ SHP XBRL MF/FPI/insurance/DII/retail %, pledge), PIT insider trades, SAST Reg 29; point-in-time features(); weekly</t>
  </si>
  <si>
    <t xml:space="preserve">Daily per-stock MF flow has no free source (quarterly SHP change used); QA</t>
  </si>
  <si>
    <t xml:space="preserve">SC-14</t>
  </si>
  <si>
    <t xml:space="preserve">Institutional Score</t>
  </si>
  <si>
    <t xml:space="preserve">W27 INS adds MutualFund (SHP MF change), Insider (90d net PIT value), promoter trend + pledge; behind institutional.score_enabled (off)</t>
  </si>
  <si>
    <t xml:space="preserve">Enable after QA; IC study</t>
  </si>
  <si>
    <t xml:space="preserve">Alternative Data</t>
  </si>
  <si>
    <t xml:space="preserve">AD-03</t>
  </si>
  <si>
    <t xml:space="preserve">Bulk/block deal signal</t>
  </si>
  <si>
    <t xml:space="preserve">W27 quant/deal_signal.py event study: abnormal (vs NIFTY50) forward returns by side, t-stats, pooled IC; verdict with direction; weekly; /market panel</t>
  </si>
  <si>
    <t xml:space="preserve">Owner decision: first study CONTRADICTS INS BulkDeals direction (net SELL deals -&gt; +4.5% 5d abnormal, t=4.1, n=139) on 4 weeks of data -- do not up-weight; re-check as history grows</t>
  </si>
  <si>
    <t xml:space="preserve">SG-04</t>
  </si>
  <si>
    <t xml:space="preserve">Rich decision states</t>
  </si>
  <si>
    <t xml:space="preserve">Decision states BUY/ADD/HOLD/REDUCE/EXIT/SELL/NO_ACTION/BLOCKED_BY_RISK with reasons; PositionIntent</t>
  </si>
  <si>
    <t xml:space="preserve">Extended states + stored reasons</t>
  </si>
  <si>
    <t xml:space="preserve">SG-01</t>
  </si>
  <si>
    <t xml:space="preserve">SELL calibration</t>
  </si>
  <si>
    <t xml:space="preserve">SELL never fired</t>
  </si>
  <si>
    <t xml:space="preserve">Backtest-based SELL thresholds</t>
  </si>
  <si>
    <t xml:space="preserve">Strategy Engine</t>
  </si>
  <si>
    <t xml:space="preserve">SE-01</t>
  </si>
  <si>
    <t xml:space="preserve">Strategy library</t>
  </si>
  <si>
    <t xml:space="preserve">Versioned JSON definitions + DB registry (id, name, description, category, version, status, owner, created/updated, priority, weight); VERSION/LIFECYCLE events; 9 library strategies</t>
  </si>
  <si>
    <t xml:space="preserve">Strategy interface + registry</t>
  </si>
  <si>
    <t xml:space="preserve">SE-02</t>
  </si>
  <si>
    <t xml:space="preserve">Strategy parameters</t>
  </si>
  <si>
    <t xml:space="preserve">ParamSpec name/type/default/min/max/allowed/required/description; validated on resolve; stored per version in strategy_parameter</t>
  </si>
  <si>
    <t xml:space="preserve">Param store per strategy with versions</t>
  </si>
  <si>
    <t xml:space="preserve">SE-03</t>
  </si>
  <si>
    <t xml:space="preserve">Rule-based strategies</t>
  </si>
  <si>
    <t xml:space="preserve">Rule language all/any/not/min-of, 11 operators incl. crosses; rule kind</t>
  </si>
  <si>
    <t xml:space="preserve">Generic rule definition format</t>
  </si>
  <si>
    <t xml:space="preserve">SE-06</t>
  </si>
  <si>
    <t xml:space="preserve">Multi-factor strategy</t>
  </si>
  <si>
    <t xml:space="preserve">multi_factor kind: weights, scaling, thresholds, confirmations, coverage, ranking</t>
  </si>
  <si>
    <t xml:space="preserve">IC-weighted multi-factor strategy</t>
  </si>
  <si>
    <t xml:space="preserve">SE-04</t>
  </si>
  <si>
    <t xml:space="preserve">Quant strategies</t>
  </si>
  <si>
    <t xml:space="preserve">quant_rank kind + point-in-time feature catalogue (framework only)</t>
  </si>
  <si>
    <t xml:space="preserve">Implement first quant strategies</t>
  </si>
  <si>
    <t xml:space="preserve">SE-09</t>
  </si>
  <si>
    <t xml:space="preserve">Strategy lifecycle</t>
  </si>
  <si>
    <t xml:space="preserve">12 states incl. DRAFT/ACTIVE/PAUSED/DISABLED/RETIRED/ARCHIVED; allowed transitions; backtest evidence for ACTIVE/VALIDATION/APPROVED; strategy_engine_event audit</t>
  </si>
  <si>
    <t xml:space="preserve">State machine + gates</t>
  </si>
  <si>
    <t xml:space="preserve">SE-11</t>
  </si>
  <si>
    <t xml:space="preserve">Strategy health</t>
  </si>
  <si>
    <t xml:space="preserve">HEALTHY/WARNING/ERROR/STALE/DISABLED; last execution, last signal, signal frequency, error count, performance reference, data availability, parameter validity</t>
  </si>
  <si>
    <t xml:space="preserve">Health scoring + alerts</t>
  </si>
  <si>
    <t xml:space="preserve">SE-07</t>
  </si>
  <si>
    <t xml:space="preserve">Strategy combination/ranking/selection</t>
  </si>
  <si>
    <t xml:space="preserve">composite kind (vote/weighted/priority/regime_select) + cross-strategy combine(): priority, weighting, vote, conflict -&gt; WAIT, NO_TRADE veto; enable/disable via lifecycle and mapping</t>
  </si>
  <si>
    <t xml:space="preserve">Allocator</t>
  </si>
  <si>
    <t xml:space="preserve">SE-08</t>
  </si>
  <si>
    <t xml:space="preserve">Regime-aware selection</t>
  </si>
  <si>
    <t xml:space="preserve">Configurable regime mapping STRONG_BULL/BULL/NEUTRAL/BEAR/HIGH_RISK (+DEFAULT) -&gt; strategies or NO_TRADE; Market Health regime provider; default mapping seeded</t>
  </si>
  <si>
    <t xml:space="preserve">Regime-conditional allocation</t>
  </si>
  <si>
    <t xml:space="preserve">SG-08</t>
  </si>
  <si>
    <t xml:space="preserve">Intraday scans</t>
  </si>
  <si>
    <t xml:space="preserve">W28 strategy/intraday_scan.py: zpi_pullback, breakout, vwap_reclaim, momentum, breakdown_risk on live quotes + today's CLOSED 15-min bars vs the previous session's scores/levels (no lookahead); 10:30/12:30/14:45; intraday_scan_hit; Telegram digest. Replaces the 12:30 ZPI alert that read today's not-yet-computed scores</t>
  </si>
  <si>
    <t xml:space="preserve">QA; tune thresholds after a few sessions</t>
  </si>
  <si>
    <t xml:space="preserve">DB-11</t>
  </si>
  <si>
    <t xml:space="preserve">Crash Risk + Top 25 SPI/MSI lists</t>
  </si>
  <si>
    <t xml:space="preserve">W28 dashboard 'Lists &amp; scans' tab: Crash-risk 25 (CRI, 5-session change, main CRI driver, held flag), Top SPI 25 (ai_scores or NSE-fundamentals SPI, source shown), MSI series + components (stored under __MARKET__ from W28)</t>
  </si>
  <si>
    <t xml:space="preserve">DB-16</t>
  </si>
  <si>
    <t xml:space="preserve">Strategy performance panel</t>
  </si>
  <si>
    <t xml:space="preserve">W28 /strategies Performance panel: health + issues, current-version backtest (return, Sharpe, DD, win rate), decisions by action and blocked, PAPER/LIVE book P&amp;L from W4 fills (average cost, realised/unrealised)</t>
  </si>
  <si>
    <t xml:space="preserve">No strategy has run (all DRAFT, no fills) -- panel populates once strategies run in PAPER</t>
  </si>
  <si>
    <t xml:space="preserve">AI/ML</t>
  </si>
  <si>
    <t xml:space="preserve">ML-13</t>
  </si>
  <si>
    <t xml:space="preserve">Labels/targets</t>
  </si>
  <si>
    <t xml:space="preserve">ml/labels.py: direction, binary_return, forward_return, return_rank, volatility_regime, market_regime, signal_outcome; ml_label definitions; computed only from bars after t</t>
  </si>
  <si>
    <t xml:space="preserve">ML-07</t>
  </si>
  <si>
    <t xml:space="preserve">Feature selection</t>
  </si>
  <si>
    <t xml:space="preserve">W24: importance-stability selection -&gt; new feature-set version</t>
  </si>
  <si>
    <t xml:space="preserve">ML-08</t>
  </si>
  <si>
    <t xml:space="preserve">Model validation</t>
  </si>
  <si>
    <t xml:space="preserve">W24: purged expanding walk-forward reports vs baselines, IC, calibration, verdict</t>
  </si>
  <si>
    <t xml:space="preserve">ML-01</t>
  </si>
  <si>
    <t xml:space="preserve">Supervised ML</t>
  </si>
  <si>
    <t xml:space="preserve">W24: native numpy GBM + random forest; bootstrap trains + validates first models (TRAINED, not ACTIVE); real-data smoke: NO_EDGE on 5-day direction</t>
  </si>
  <si>
    <t xml:space="preserve">Richer features / labels; full-universe validation</t>
  </si>
  <si>
    <t xml:space="preserve">ML-12</t>
  </si>
  <si>
    <t xml:space="preserve">Model registry/versioning</t>
  </si>
  <si>
    <t xml:space="preserve">ml_model / ml_model_version with feature-set, dataset, config and artifact hashes; immutable artifacts; lifecycle</t>
  </si>
  <si>
    <t xml:space="preserve">ML-11</t>
  </si>
  <si>
    <t xml:space="preserve">Ensemble models</t>
  </si>
  <si>
    <t xml:space="preserve">W24: ensemble model type blended by held-out loss</t>
  </si>
  <si>
    <t xml:space="preserve">ML-09</t>
  </si>
  <si>
    <t xml:space="preserve">Model monitoring/drift</t>
  </si>
  <si>
    <t xml:space="preserve">W24: drift (PSI share) + realised decay alerts, ml_health_check, monitor rule</t>
  </si>
  <si>
    <t xml:space="preserve">ML-10</t>
  </si>
  <si>
    <t xml:space="preserve">Explainability</t>
  </si>
  <si>
    <t xml:space="preserve">W24: exact path contributions for trees, gain importances, out-of-sample permutation importance</t>
  </si>
  <si>
    <t xml:space="preserve">ML-05</t>
  </si>
  <si>
    <t xml:space="preserve">Regime detection</t>
  </si>
  <si>
    <t xml:space="preserve">W24: market_regime model preset validated + trained (NO_EDGE on smoke)</t>
  </si>
  <si>
    <t xml:space="preserve">Owner decides regime provider after evidence</t>
  </si>
  <si>
    <t xml:space="preserve">ML-03</t>
  </si>
  <si>
    <t xml:space="preserve">Unsupervised learning</t>
  </si>
  <si>
    <t xml:space="preserve">W24: k-means++ factor clusters with profiles; return PCA</t>
  </si>
  <si>
    <t xml:space="preserve">ML-06</t>
  </si>
  <si>
    <t xml:space="preserve">Anomaly detection</t>
  </si>
  <si>
    <t xml:space="preserve">W24: robust-z + multivariate anomaly scan, CA-explained, post-market (flag off)</t>
  </si>
  <si>
    <t xml:space="preserve">Owner: ml.anomalies_enabled</t>
  </si>
  <si>
    <t xml:space="preserve">SE-05</t>
  </si>
  <si>
    <t xml:space="preserve">AI-driven strategies</t>
  </si>
  <si>
    <t xml:space="preserve">W28 ml/ai_strategy.py: 8-gate readiness chain per ML strategy (ml.enabled, default_model, model, ACTIVE version, validation not NO_EDGE, fresh predictions, backtest, W4 risk gate) + guarded activation (PAPER first, ACTIVE only from PAPER) via lifecycle.transition; /ml panel</t>
  </si>
  <si>
    <t xml:space="preserve">BLOCKED</t>
  </si>
  <si>
    <t xml:space="preserve">Evidence, not a decision: no ML model version has passed validation (W24: NO_EDGE). Re-train when more history exists (DP-23 backfill) and activate only an ADOPTABLE model</t>
  </si>
  <si>
    <t xml:space="preserve">NS-02</t>
  </si>
  <si>
    <t xml:space="preserve">News classification</t>
  </si>
  <si>
    <t xml:space="preserve">W28 data/news_ai.py: batched Claude Haiku 4.5 classification (20 headlines/request, JSON-schema structured output: sentiment, confidence, importance, 17-category taxonomy, NSE symbols, rationale); daily cost cap with ai_usage_log; off by default</t>
  </si>
  <si>
    <t xml:space="preserve">Working ANTHROPIC_API_KEY (current key 401, KD-001), then news.ai_enabled=true</t>
  </si>
  <si>
    <t xml:space="preserve">NS-03</t>
  </si>
  <si>
    <t xml:space="preserve">Sentiment + confidence</t>
  </si>
  <si>
    <t xml:space="preserve">W28: model sentiment + model confidence (classifier='claude', read by ACS); rule fallback rebuilt: weighted lexicon with negation, category keywords, MEASURED confidence from evidence (no longer constant 0.5; still excluded from ACS)</t>
  </si>
  <si>
    <t xml:space="preserve">Enable the AI path; compare AI vs rule sentiment on a labelled sample</t>
  </si>
  <si>
    <t xml:space="preserve">NS-05</t>
  </si>
  <si>
    <t xml:space="preserve">Novelty/decay/source weighting</t>
  </si>
  <si>
    <t xml:space="preserve">W28b: data/news_weighting.py -- novelty (shingle Jaccard vs 72h, dup_of), half-life by W28 category, measured source weights (duplicate share, next-session reaction hit rate), per-stock decayed weighted score in news_symbol_score (shrunk toward 50); scores/engine.get_ns reads it; News tab card</t>
  </si>
  <si>
    <t xml:space="preserve">Independent QA; review effect on VPI/MRI/RRI/CRI/ZPI</t>
  </si>
  <si>
    <t xml:space="preserve">NS-04</t>
  </si>
  <si>
    <t xml:space="preserve">AI news summary</t>
  </si>
  <si>
    <t xml:space="preserve">W28 market_summary(): one Claude request over the window's headlines -&gt; headline, tone, bullets with headline refs, key risks, stocks in focus; rule-based summary (labelled) as fallback; news_summary table; after pre-market and midday news</t>
  </si>
  <si>
    <t xml:space="preserve">Enable AI path</t>
  </si>
  <si>
    <t xml:space="preserve">DB-06</t>
  </si>
  <si>
    <t xml:space="preserve">AI News Summary panel</t>
  </si>
  <si>
    <t xml:space="preserve">W28 market brief card at the top of the dashboard News tab (AI or rule, labelled; tone; bullets; risks; stocks in focus clickable; AI spend vs cap)</t>
  </si>
  <si>
    <t xml:space="preserve">NS-06</t>
  </si>
  <si>
    <t xml:space="preserve">Earnings call / announcement NLP</t>
  </si>
  <si>
    <t xml:space="preserve">W28b: data/announcements.py -- NSE corporate announcements classified (subject rules + W28 lexicon); transcripts / results / presentations of tracked stocks read from the PDF by the W28 news model under the daily cap (tone, guidance, key points, risks); material ones -&gt; market_event ANNOUNCEMENT (QR-09); News tab card</t>
  </si>
  <si>
    <t xml:space="preserve">Independent QA; verify NSE field names live; owner: news.ai_enabled for document NLP</t>
  </si>
  <si>
    <t xml:space="preserve">ML-02</t>
  </si>
  <si>
    <t xml:space="preserve">Deep learning</t>
  </si>
  <si>
    <t xml:space="preserve">W36: ml/deep.py native NumPy MLP (model_type neural_network, Adam, dropout, time-ordered early stopping, gradient importances) replacing the W5 placeholder; benefit_check() walk-forward vs logistic/linear + native_gbm; registry refuses APPROVED/ACTIVE without an ADOPTABLE check</t>
  </si>
  <si>
    <t xml:space="preserve">Run benefit_check on a real dataset; adopt only if ADOPTABLE</t>
  </si>
  <si>
    <t xml:space="preserve">ML-04</t>
  </si>
  <si>
    <t xml:space="preserve">Reinforcement learning</t>
  </si>
  <si>
    <t xml:space="preserve">W36: ml/rl.py tabular Q-learning long/flat agent (36 states: momentum, trend, volatility, position) with costs; out-of-sample vs buy-and-hold and trend baselines; research only, cannot be activated</t>
  </si>
  <si>
    <t xml:space="preserve">Run on the universe; expect NO_ADVANTAGE unless proven otherwise</t>
  </si>
  <si>
    <t xml:space="preserve">DB-18</t>
  </si>
  <si>
    <t xml:space="preserve">Quant/model panel</t>
  </si>
  <si>
    <t xml:space="preserve">W28 /ml Model monitoring: max/mean feature PSI and features-shifted series, realised metric series, health-check history (/api/ml/monitoring-series)</t>
  </si>
  <si>
    <t xml:space="preserve">Shows data once a model runs with ml.enabled (none in production)</t>
  </si>
  <si>
    <t xml:space="preserve">PF-03</t>
  </si>
  <si>
    <t xml:space="preserve">Exposure / sector allocation</t>
  </si>
  <si>
    <t xml:space="preserve">W25: portfolio/risk.py book_snapshot for PAPER and LIVE books (weights, % equity, sector exposure); /api/risk/portfolio; /trading Portfolio risk panel</t>
  </si>
  <si>
    <t xml:space="preserve">PF-04</t>
  </si>
  <si>
    <t xml:space="preserve">Concentration/diversification</t>
  </si>
  <si>
    <t xml:space="preserve">W25: concentration() max/top-5 weight, HHI, effective N, sector HHI; in /api/risk/portfolio and snapshots</t>
  </si>
  <si>
    <t xml:space="preserve">PF-09</t>
  </si>
  <si>
    <t xml:space="preserve">Correlation</t>
  </si>
  <si>
    <t xml:space="preserve">W25: portfolio correlation matrix, weighted avg pairwise correlation, high pairs, diversification ratio; heatmap on /trading</t>
  </si>
  <si>
    <t xml:space="preserve">RK-11</t>
  </si>
  <si>
    <t xml:space="preserve">Correlation risk</t>
  </si>
  <si>
    <t xml:space="preserve">W25: W4 limit max_avg_correlation (value-weighted correlation of the new symbol with the held book; fail closed); analytics in /api/risk/portfolio</t>
  </si>
  <si>
    <t xml:space="preserve">Independent QA; owner sets the limit (default off)</t>
  </si>
  <si>
    <t xml:space="preserve">RK-12</t>
  </si>
  <si>
    <t xml:space="preserve">Portfolio VaR/ES</t>
  </si>
  <si>
    <t xml:space="preserve">W25: historical / parametric / Monte Carlo VaR and ES, 95/99%, 1 and 10 days; W4 limit max_portfolio_var_pct (post-trade); snapshot job + VaR alert (off by default)</t>
  </si>
  <si>
    <t xml:space="preserve">Independent QA; owner sets limit / enables portfolio_risk.snapshot_enabled</t>
  </si>
  <si>
    <t xml:space="preserve">RK-06</t>
  </si>
  <si>
    <t xml:space="preserve">Sector limits</t>
  </si>
  <si>
    <t xml:space="preserve">max_sector_exposure_pct in the W4 risk engine (NSE industry from cached Nifty 500 list; fails closed when unavailable)</t>
  </si>
  <si>
    <t xml:space="preserve">RK-09</t>
  </si>
  <si>
    <t xml:space="preserve">Volatility limits</t>
  </si>
  <si>
    <t xml:space="preserve">W25: W4 limit max_symbol_volatility_pct (annualised 60-session vol; fail closed)</t>
  </si>
  <si>
    <t xml:space="preserve">RK-10</t>
  </si>
  <si>
    <t xml:space="preserve">Liquidity limits</t>
  </si>
  <si>
    <t xml:space="preserve">W25: W4 cap max_adv_participation_pct (qty &lt;= % of 20-session ADV) and W1 risk_limits.max_adv_participation_pct (BUY and SELL, unmeasurable -&gt; refused)</t>
  </si>
  <si>
    <t xml:space="preserve">RK-18</t>
  </si>
  <si>
    <t xml:space="preserve">Strategy risk budget</t>
  </si>
  <si>
    <t xml:space="preserve">max_strategy_exposure_pct + strategy_drawdown_limit_pct from per-strategy fill attribution</t>
  </si>
  <si>
    <t xml:space="preserve">Per-strategy capital budgets</t>
  </si>
  <si>
    <t xml:space="preserve">RK-01</t>
  </si>
  <si>
    <t xml:space="preserve">Kill switch scopes + auto-trigger</t>
  </si>
  <si>
    <t xml:space="preserve">Global flag file + config</t>
  </si>
  <si>
    <t xml:space="preserve">Per-strategy/symbol; auto-trigger</t>
  </si>
  <si>
    <t xml:space="preserve">RK-16</t>
  </si>
  <si>
    <t xml:space="preserve">Emergency exit</t>
  </si>
  <si>
    <t xml:space="preserve">W25: portfolio/emergency.py plan + confirm code (10 min) -&gt; kill switch ON, cancel open W4 orders, sell PAPER book; LIVE = sell list only, never an order; /api/risk/emergency-exit (risk:approve); dashboard button</t>
  </si>
  <si>
    <t xml:space="preserve">PF-10</t>
  </si>
  <si>
    <t xml:space="preserve">Portfolio optimisation</t>
  </si>
  <si>
    <t xml:space="preserve">W25: portfolio/optimize.py min_variance / mean_variance / max_sharpe / risk_parity; long-only, max/min weight, sector caps (FISTA + exact Dykstra projection); shrunk covariance; frontier; stored runs</t>
  </si>
  <si>
    <t xml:space="preserve">Independent QA; expected-return model review</t>
  </si>
  <si>
    <t xml:space="preserve">PF-06</t>
  </si>
  <si>
    <t xml:space="preserve">Rebalancing</t>
  </si>
  <si>
    <t xml:space="preserve">W25: rebalance_plan (NEW/ADD/REDUCE/EXIT/HOLD, band, min trade, costs, turnover); portfolio kind reweight_band_pct emits ADD/REDUCE with exact quantity. W39: the W2 backtest simulates ADD / REDUCE (partial rows, averaged entries, max_position_pct cap, P&amp;L conserved; BUY/SELL-only runs byte-identical); reweight_band_pct accepted by definition validation (was refused); saved runs, walk-forward and Monte Carlo count positions</t>
  </si>
  <si>
    <t xml:space="preserve">Independent QA. W39b: the event-driven engine (BT-17) now trades ADD / REDUCE too, through its own order model</t>
  </si>
  <si>
    <t xml:space="preserve">PF-07</t>
  </si>
  <si>
    <t xml:space="preserve">Risk attribution</t>
  </si>
  <si>
    <t xml:space="preserve">W25: risk_attribution per position / sector variance share, component VaR, beta, systematic vs idiosyncratic</t>
  </si>
  <si>
    <t xml:space="preserve">PF-08</t>
  </si>
  <si>
    <t xml:space="preserve">Performance attribution</t>
  </si>
  <si>
    <t xml:space="preserve">W25: holdings-based contribution by position / sector, beta-alpha split vs NIFTY50, Brinson allocation/selection vs equal-weighted universe</t>
  </si>
  <si>
    <t xml:space="preserve">Independent QA. Trade-based attribution of the LIVE book now exists in the wealth performance report (PERF-001-07 / -09 / -10 on portfolio LIVE: broker_sync + PF-12 imports)</t>
  </si>
  <si>
    <t xml:space="preserve">PF-11</t>
  </si>
  <si>
    <t xml:space="preserve">CAGR/XIRR analytics</t>
  </si>
  <si>
    <t xml:space="preserve">W25: CAGR from pnl_daily equity; PAPER book + per-position XIRR from paper fills (wealth ledger XIRR in W15.5)</t>
  </si>
  <si>
    <t xml:space="preserve">Independent QA. LIVE XIRR now comes from the wealth performance ledger (PERF-001-04, portfolio LIVE: Dhan broker_sync + PF-12 broker imports)</t>
  </si>
  <si>
    <t xml:space="preserve">DB-17</t>
  </si>
  <si>
    <t xml:space="preserve">Risk dashboard</t>
  </si>
  <si>
    <t xml:space="preserve">W25: /trading Portfolio risk panels: KPIs, VaR/ES table, concentration, risk contribution, correlation heatmap, performance attribution, emergency exit</t>
  </si>
  <si>
    <t xml:space="preserve">EX-02</t>
  </si>
  <si>
    <t xml:space="preserve">Order types</t>
  </si>
  <si>
    <t xml:space="preserve">W29: SL (stop-limit) and SL-M (stop-market) in the paper broker and OMS (per-order order_type / limit / trigger, validated); paper matching loop fills resting LIMIT / SL / SL-M (fixes W4-R4); protective child SL-M/SL after an entry fill (execution.protective_stops, off); LIMIT fills capped at the limit (slippage defect fixed)</t>
  </si>
  <si>
    <t xml:space="preserve">QA; LIVE order types only with live execution (not built)</t>
  </si>
  <si>
    <t xml:space="preserve">EX-08</t>
  </si>
  <si>
    <t xml:space="preserve">Order modify/cancel</t>
  </si>
  <si>
    <t xml:space="preserve">W29 modify_order: quantity (down only -- up needs a new risk decision), limit, trigger, type for CREATED/VALIDATED (in place) and ACKNOWLEDGED (via adapter); append-only event rows old-&gt;new; paper broker modify_order; Dhan adapter refuses</t>
  </si>
  <si>
    <t xml:space="preserve">BR-05</t>
  </si>
  <si>
    <t xml:space="preserve">Execution reconciliation</t>
  </si>
  <si>
    <t xml:space="preserve">W29 EOD reconciliation: PAPER positions (OMS fills vs paper_position, non-OMS orders explained), orders (status / filled qty vs paper_order), fill rows; LIVE holdings info; reconciliation_run + alert on breaks; post-market after the execution cycle</t>
  </si>
  <si>
    <t xml:space="preserve">BR-06</t>
  </si>
  <si>
    <t xml:space="preserve">Connection health</t>
  </si>
  <si>
    <t xml:space="preserve">W29 broker health: Dhan market data (latency), Dhan token (fund-limits), index feed, stock feed, quote freshness, Zerodha token, paper book; broker_health_check every 5 min in session + 08:45; alert on transition to/from DOWN/STALE; /trading panel</t>
  </si>
  <si>
    <t xml:space="preserve">Observe in a live session</t>
  </si>
  <si>
    <t xml:space="preserve">RK-17</t>
  </si>
  <si>
    <t xml:space="preserve">Broker/operational risk</t>
  </si>
  <si>
    <t xml:space="preserve">W29 risk check broker_health: BUY REJECTED while the latest check (&lt;= 30 min) is DOWN or STALE; SKIP without a recent check; exits never blocked (execution.block_on_broker_health)</t>
  </si>
  <si>
    <t xml:space="preserve">BR-08</t>
  </si>
  <si>
    <t xml:space="preserve">Sandbox</t>
  </si>
  <si>
    <t xml:space="preserve">W29: SANDBOX now uses its own credentials (dhan_sandbox_client_id / token; the old path reused the production token, which the sandbox rejects); verified redirect; python -m orders.sandbox_check (credentials, redirect, reachability, auth, optional place/status/cancel round trip); /api/execution/sandbox-check</t>
  </si>
  <si>
    <t xml:space="preserve">Owner: a Dhan-issued sandbox token, then run python -m orders.sandbox_check --place-test-order</t>
  </si>
  <si>
    <t xml:space="preserve">EX-09</t>
  </si>
  <si>
    <t xml:space="preserve">Measured slippage</t>
  </si>
  <si>
    <t xml:space="preserve">W29 measured slippage per fill: bps vs decision reference (vs trigger for stops), positive = adverse, rupee cost; /api/execution/slippage</t>
  </si>
  <si>
    <t xml:space="preserve">Meaningful once PAPER strategies execute</t>
  </si>
  <si>
    <t xml:space="preserve">EX-10</t>
  </si>
  <si>
    <t xml:space="preserve">Execution analytics</t>
  </si>
  <si>
    <t xml:space="preserve">W29 execution analytics: fill rate (qty / orders), rejection rate + reasons, cancels, failures, time to fill p50/p90, slippage mean/median/p90/worst, cost, fees; by strategy / order type / mode / day; /trading panel</t>
  </si>
  <si>
    <t xml:space="preserve">BR-02</t>
  </si>
  <si>
    <t xml:space="preserve">Zerodha/Kite</t>
  </si>
  <si>
    <t xml:space="preserve">W29 Kite session lifecycle: token_status (VALID / EXPIRED at 06:00 IST / MISSING), login URL + /zerodha/callback request_token exchange (owner logs in at Zerodha; ATIP never handles the password), pre-market expiry alert; holdings sync skips an expired session</t>
  </si>
  <si>
    <t xml:space="preserve">Register http://127.0.0.1:8000/zerodha/callback in the Kite developer console; Kite ORDERS not built (owner decision)</t>
  </si>
  <si>
    <t xml:space="preserve">MON-04</t>
  </si>
  <si>
    <t xml:space="preserve">Live strategy/P&amp;L monitoring</t>
  </si>
  <si>
    <t xml:space="preserve">W29 live P&amp;L: LIVE holdings + PAPER book + per-strategy open positions at the newest live quote (price source and age shown, stale flagged): day P&amp;L, unrealised, realised, cash; 15-min snapshots and an intraday chart on /trading (refresh 60 s)</t>
  </si>
  <si>
    <t xml:space="preserve">QA in a live session</t>
  </si>
  <si>
    <t xml:space="preserve">SEC-03</t>
  </si>
  <si>
    <t xml:space="preserve">Audit logging</t>
  </si>
  <si>
    <t xml:space="preserve">W29 audit export: incremental gzip JSONL segments of enterprise_audit (chain verified, broken chain alerted) and oms_order_event with sha256 sidecars, off-box copy to audit.offbox_dir (hash re-checked), audit_export registry, daily 19:30; retention policy documented (append-only, operator-only pruning after off-box copy)</t>
  </si>
  <si>
    <t xml:space="preserve">Set audit.offbox_dir (owner: a second drive / NAS / synced folder)</t>
  </si>
  <si>
    <t xml:space="preserve">DP-04</t>
  </si>
  <si>
    <t xml:space="preserve">Tick data</t>
  </si>
  <si>
    <t xml:space="preserve">W35: data/ticks.py -- every Dhan Quote packet of the stock feed captured (live_feed.capture_ticks, off) to lake "ticks", tick_capture_status, EOD 1-minute bars into intraday_bars</t>
  </si>
  <si>
    <t xml:space="preserve">Owner: enable stock feed + capture_ticks; QA</t>
  </si>
  <si>
    <t xml:space="preserve">DP-05</t>
  </si>
  <si>
    <t xml:space="preserve">Order book / depth</t>
  </si>
  <si>
    <t xml:space="preserve">W35: data/depth.py -- 5-level depth from Dhan quote_data polled for a small set (depth.enabled, off): order_book_snapshot (spread bps, imbalance, top-5 qty) + lake "depth"; daily features for AF-07</t>
  </si>
  <si>
    <t xml:space="preserve">Owner: depth.enabled; verify Dhan depth payload live; QA</t>
  </si>
  <si>
    <t xml:space="preserve">AF-07</t>
  </si>
  <si>
    <t xml:space="preserve">Microstructure factors</t>
  </si>
  <si>
    <t xml:space="preserve">W30: bar-based microstructure from stored 15-min bars per symbol/day: bar RV, Roll and Corwin-Schultz spread ESTIMATES, VWAP deviation, close location, last-hour volume share, order imbalance from stock-feed Quote packets (buy/sell qty now stored); ms_* strategy features incl. ms_spread_20; post-market job independent of quant.enabled</t>
  </si>
  <si>
    <t xml:space="preserve">Quoted spread / depth / tick features need DP-04 / DP-05 feeds</t>
  </si>
  <si>
    <t xml:space="preserve">AF-06</t>
  </si>
  <si>
    <t xml:space="preserve">Derivatives factors</t>
  </si>
  <si>
    <t xml:space="preserve">W36: 8 derivatives factors in quant/factors.py from fo_underlying_daily (basis, OI build-up, PCR, PCR change, ATM IV, IV rank, IV skew, max-pain gap), point in time, F&amp;O symbols only; engine loads derivatives inputs</t>
  </si>
  <si>
    <t xml:space="preserve">Run factor IC research once F&amp;O history accumulates</t>
  </si>
  <si>
    <t xml:space="preserve">QR-10</t>
  </si>
  <si>
    <t xml:space="preserve">Volatility strategies</t>
  </si>
  <si>
    <t xml:space="preserve">W30: implied volatility from F&amp;O bhavcopy option closes (Black-Scholes; ATM call/put IV, 95/105 skew, expiry &gt;= 4 days) per underlying per day; dv_* features: iv_atm, iv_rank / pct (252), VRP (IV - RV20), skew, PCR, annualised basis, futures OI change, F&amp;O flag; 2 DRAFT library strategies (vol_compression_breakout, vrp_trend_filter)</t>
  </si>
  <si>
    <t xml:space="preserve">Backfill IV history (python -m data.derivatives --backfill 250 --recompute) so iv_rank has a year; backtest the two strategies; options strategies (selling vol) not executable in cash</t>
  </si>
  <si>
    <t xml:space="preserve">QR-05</t>
  </si>
  <si>
    <t xml:space="preserve">Stat-arb / pairs / cointegration</t>
  </si>
  <si>
    <t xml:space="preserve">W30 shortable instrument: paper stock-futures book (near-month, whole lots, margin_pct of notional, EOD futures close + slippage, expiry settlement); SHORT / COVER actions; pairs kind with short_via_futures emits SHORT + long leg; risk engine lot sizing / margin / health gate; OMS FUT routing; LIVE refused; futures.enabled off by default</t>
  </si>
  <si>
    <t xml:space="preserve">Backtest engine does not simulate futures shorts; no auto-roll (re-entry on next signal); paper capital must exceed one lot (~Rs 5-10 lakh notional)</t>
  </si>
  <si>
    <t xml:space="preserve">QR-06</t>
  </si>
  <si>
    <t xml:space="preserve">Cross-sectional / market-neutral</t>
  </si>
  <si>
    <t xml:space="preserve">W30: portfolio kind with short_via_futures: negative weights on F&amp;O names become SHORT intents (target = |weight|), held shorts dropped from the target are COVERed; neutral books no longer held back when shorts are executable</t>
  </si>
  <si>
    <t xml:space="preserve">Same limits as QR-05; lot granularity makes small books non-neutral -- check exposure after sizing</t>
  </si>
  <si>
    <t xml:space="preserve">QR-09</t>
  </si>
  <si>
    <t xml:space="preserve">Event-driven research</t>
  </si>
  <si>
    <t xml:space="preserve">W30 event sources: EARNINGS (NSE filings, known next day for evening filings, value = profit YoY), DIVIDEND (NSE corporate actions), INSIDER_BUY/SELL (PIT, promoters/directors/KMP), SAST; ev_days_since_earnings/dividend/insider_buy, ev_earnings_growth, ev_insider_net_90d; generic event study (CAR vs NIFTY50 by horizon and direction, pre-event drift, winsorized t-stats, day-0 and data-gap guards); weekly studies</t>
  </si>
  <si>
    <t xml:space="preserve">MACRO / INDEX_CHANGE calendars (no free source); earnings history needs the full fundamentals backfill</t>
  </si>
  <si>
    <t xml:space="preserve">AF-05</t>
  </si>
  <si>
    <t xml:space="preserve">Value/quality composites</t>
  </si>
  <si>
    <t xml:space="preserve">W30: value / size factors v2 from NSE fundamentals at the factor date's close: earnings_yield (TTM EPS / close, negative for losses), book_to_market, fcf_yield, price_to_sales (TTM revenue), rel_earnings_yield, market_cap, size_log, turnover (filed shares); fundamentals_as_of uses the filing broadcast time; vqm / vqmg composites now have inputs</t>
  </si>
  <si>
    <t xml:space="preserve">Full fundamentals backfill (W27-1) then a factor IC study</t>
  </si>
  <si>
    <t xml:space="preserve">EX-11</t>
  </si>
  <si>
    <t xml:space="preserve">Execution algos</t>
  </si>
  <si>
    <t xml:space="preserve">W34: execution/algos.py -- TWAP / VWAP (20-session slot volume profile) / POV / ICEBERG parents worked in child oms_orders (algo_parent_id), selected by size vs ADV or value (execution.algo, off), PAPER only; pause on failed child, cancel/resume, execution-quality report vs arrival and interval VWAP; /execution-lab</t>
  </si>
  <si>
    <t xml:space="preserve">Independent QA; owner: execution.algo.enabled</t>
  </si>
  <si>
    <t xml:space="preserve">EX-12</t>
  </si>
  <si>
    <t xml:space="preserve">Market impact model</t>
  </si>
  <si>
    <t xml:space="preserve">W34: execution/impact.py -- square-root impact (sigma, median ADV, Corwin-Schultz spread), Y calibrated weekly from LIVE fills only (default 0.7 until 30 fills), pre-trade API; used by algo selection and BT-17</t>
  </si>
  <si>
    <t xml:space="preserve">Independent QA; calibration needs live fills</t>
  </si>
  <si>
    <t xml:space="preserve">EX-15</t>
  </si>
  <si>
    <t xml:space="preserve">Latency telemetry</t>
  </si>
  <si>
    <t xml:space="preserve">W34: ops/latency.py -- in-memory samples + metrics histogram, per-minute rollups (p50/p95/p99/max) for data.live_quotes, feed.tick_to_flush, risk.evaluate, order.decision_to_submit, order.submit_adapter, order.submit_to_fill, algo.tick, events.dispatch; /execution-lab chart</t>
  </si>
  <si>
    <t xml:space="preserve">EX-16</t>
  </si>
  <si>
    <t xml:space="preserve">Event-driven OMS</t>
  </si>
  <si>
    <t xml:space="preserve">W34: execution/events.py -- transactional outbox (order.state, order.fill, algo.parent published in the same transaction as the change), at-least-once dispatcher with per-handler idempotent delivery, dead letters, replay; handlers for algo progress, submit-to-fill latency, audit line</t>
  </si>
  <si>
    <t xml:space="preserve">BT-17</t>
  </si>
  <si>
    <t xml:space="preserve">Event-driven backtester</t>
  </si>
  <si>
    <t xml:space="preserve">W34: backtest/event_driven.py -- event queue over daily or intraday bars; latency, partial fills vs bar volume, MARKET/LIMIT/STOP, impact-priced fills, TWAP slices, intrabar protective exits; same Strategy interface; stored as kind event_driven. W39b: ADD / REDUCE through the order model (matches the W2 engine leg for leg on a hand-computed case; BUY / SELL-only runs byte-identical); fix: a SELL with nothing left to sell (a max-hold exit queued on the bar a stop fired) was charged costs and a fill, an over-sized SELL was charged on its full size, and a slow max-hold exit was queued again every session</t>
  </si>
  <si>
    <t xml:space="preserve">Independent QA; the engine does not yet report the adapter's skipped decisions the way W2 does</t>
  </si>
  <si>
    <t xml:space="preserve">DP-14</t>
  </si>
  <si>
    <t xml:space="preserve">Macroeconomic data</t>
  </si>
  <si>
    <t xml:space="preserve">W35: data/macro.py -- 11 series from FRED / World Bank (India CPI, IIP, call rate, 10Y, GDP, inflation; USDINR, US 10Y, Fed funds, US CPI, Brent) with point-in-time available_from (release lags), revisions flagged, vintages in lake; macro_calendar (owner + rule-derived expected CPI dates); MACRO events to market_event</t>
  </si>
  <si>
    <t xml:space="preserve">QA; owner: add RBI MPC dates to the calendar</t>
  </si>
  <si>
    <t xml:space="preserve">AD-01</t>
  </si>
  <si>
    <t xml:space="preserve">Alt-data framework</t>
  </si>
  <si>
    <t xml:space="preserve">W35: altdata/framework.py -- DataSource interface, registry, point-in-time alt_observation (available_from required), health (coverage, staleness), lake copy, panel() for research</t>
  </si>
  <si>
    <t xml:space="preserve">AD-02</t>
  </si>
  <si>
    <t xml:space="preserve">Alt-data sources</t>
  </si>
  <si>
    <t xml:space="preserve">W35: altdata/sources.py -- news_attention and announcement_intensity (internal, on) and wiki_pageviews (Wikimedia, off); research inputs only, not score inputs</t>
  </si>
  <si>
    <t xml:space="preserve">QA; IC research before any use</t>
  </si>
  <si>
    <t xml:space="preserve">DP-22</t>
  </si>
  <si>
    <t xml:space="preserve">Point-in-time data lake</t>
  </si>
  <si>
    <t xml:space="preserve">W35: data/lake.py -- partitioned lake (Parquet with pyarrow, else csv.gz), manifest lake_partition with version + knowledge time + sha256; point-in-time read(as_of), archive_table, verify, DuckDB query when installed</t>
  </si>
  <si>
    <t xml:space="preserve">Owner: pip install pyarrow duckdb for Parquet + SQL; QA</t>
  </si>
  <si>
    <t xml:space="preserve">DP-21</t>
  </si>
  <si>
    <t xml:space="preserve">Multi-asset data</t>
  </si>
  <si>
    <t xml:space="preserve">W35: data/multi_asset.py -- AMFI daily NAVs of all MF schemes (mf_nav) + on-demand scheme history; commodities / FX / rates via yfinance (asset_price_daily). MCX / NSE-CDS exchange bhavcopies NOT wired (no verified free endpoint)</t>
  </si>
  <si>
    <t xml:space="preserve">QA; MCX/CDS exchange feeds if a source is chosen</t>
  </si>
  <si>
    <t xml:space="preserve">MON-05</t>
  </si>
  <si>
    <t xml:space="preserve">Model/factor decay monitoring</t>
  </si>
  <si>
    <t xml:space="preserve">W24: model + factor IC decay monitoring with alerts</t>
  </si>
  <si>
    <t xml:space="preserve">Needs factor history (W22 backfill)</t>
  </si>
  <si>
    <t xml:space="preserve">OPS-06</t>
  </si>
  <si>
    <t xml:space="preserve">DR / backup automation</t>
  </si>
  <si>
    <t xml:space="preserve">W31: encrypted off-site copy of each VERIFIED backup (AES-256-GCM, 4 MiB authenticated chunks, sha256 sidecar, re-hashed at destination, retention 14; never plaintext off-site without an explicit flag); weekly restore drill (newest backup, from the off-site encrypted copy when present: decrypt, integrity, row counts vs backup time, timed, recorded, alert on failure); decrypt-backup CLI</t>
  </si>
  <si>
    <t xml:space="preserve">Owner: set ops.backup_offsite_dir (second drive / NAS / synced folder) and keep the data key outside it</t>
  </si>
  <si>
    <t xml:space="preserve">SEC-04</t>
  </si>
  <si>
    <t xml:space="preserve">Encryption</t>
  </si>
  <si>
    <t xml:space="preserve">W31: encrypted credential vault (atip_data/secrets/vault.json, AES-GCM with per-name context) consulted by ops/secrets before legacy config; vault-migrate (dry run / apply with verified copy and config backup) blanks config.json secrets; legacy readers (Dhan, Kite, Telegram) fall back to the vault; key rotation re-encrypts MFA secrets + vault under a new key, old key kept as .previous (still readable, incl. old encrypted backups); refuses when the key comes from env/.env</t>
  </si>
  <si>
    <t xml:space="preserve">Owner: python -m ops keygen + vault-migrate --apply; TLS only with ENT-07 (exposure blocked)</t>
  </si>
  <si>
    <t xml:space="preserve">API-05</t>
  </si>
  <si>
    <t xml:space="preserve">API contracts/docs</t>
  </si>
  <si>
    <t xml:space="preserve">W31: python -m ops api-docs (openapi.json + API_REFERENCE.md, 362 routes with permissions). W39: every public v1 resource has a typed response schema (openapi-v1.json) checked against the real handlers by a contract test; error bodies (incl. 422) use the envelope</t>
  </si>
  <si>
    <t xml:space="preserve">Tracker wave 9+ (Enterprise SaaS)</t>
  </si>
  <si>
    <t xml:space="preserve">Independent QA. Per-route schemas for the internal dashboard routes are not planned: /api/v1 is the published contract</t>
  </si>
  <si>
    <t xml:space="preserve">API-06</t>
  </si>
  <si>
    <t xml:space="preserve">Widget JSON schemas</t>
  </si>
  <si>
    <t xml:space="preserve">W36: dashboard/widget_schemas.py + dashboard/schemas/*.json -- 16 widget JSON Schemas, dependency-free validator, /api/schemas catalogue + live check-all</t>
  </si>
  <si>
    <t xml:space="preserve">QA; extend as widgets change</t>
  </si>
  <si>
    <t xml:space="preserve">OPS-05</t>
  </si>
  <si>
    <t xml:space="preserve">Documentation set</t>
  </si>
  <si>
    <t xml:space="preserve">W31: docs/USER_GUIDE.md (start/stop, the trading-day schedule, every page, every W27-W31 switch, routine tasks, troubleshooting, what ATIP will not do); generated API reference; DR + rollback docs updated (off-site, drills, the PS scripts' kill-all-main.py caveat)</t>
  </si>
  <si>
    <t xml:space="preserve">Refresh after W32/W33</t>
  </si>
  <si>
    <t xml:space="preserve">SEC-06</t>
  </si>
  <si>
    <t xml:space="preserve">API security hardening</t>
  </si>
  <si>
    <t xml:space="preserve">OpsMiddleware: 2 MB limit (413), JSON content-type/parse checks (415/400), optional token-bucket rate limit (429), nosniff/DENY/no-referrer/COOP/Permissions-Policy, no-store on auth/account/admin, HSTS only with TLS, CORS only when origins configured</t>
  </si>
  <si>
    <t xml:space="preserve">Enable rate limiting in production config</t>
  </si>
  <si>
    <t xml:space="preserve">OPS-08</t>
  </si>
  <si>
    <t xml:space="preserve">Configuration management</t>
  </si>
  <si>
    <t xml:space="preserve">ATIP_ENV / environment (development/test/staging/production), config.&lt;env&gt;.json overlay, ATIP__SECTION__KEY overrides, validation (production refuses to start on errors), fingerprint + ops_config_version + audit of changed keys, feature flags</t>
  </si>
  <si>
    <t xml:space="preserve">OPS-09</t>
  </si>
  <si>
    <t xml:space="preserve">Scheduler hardening</t>
  </si>
  <si>
    <t xml:space="preserve">ops_job_lock per job name (stale-owner takeover), scheduler heartbeat every 60 s, SKIPPED run when another runner holds the job, job metrics</t>
  </si>
  <si>
    <t xml:space="preserve">OPS-10</t>
  </si>
  <si>
    <t xml:space="preserve">Resilience + idempotency</t>
  </si>
  <si>
    <t xml:space="preserve">W31: circuit breakers on every Dhan market-data call (dhan_data, 6 failures / 120 s), NSE client (nse, 8 / 180 s, fails fast to None), yfinance (retry x3 + breaker), each news feed (breaker per feed); breaker states already in /health/broker and metrics; orders never retried</t>
  </si>
  <si>
    <t xml:space="preserve">Observe breaker behaviour in a real outage</t>
  </si>
  <si>
    <t xml:space="preserve">MON-09</t>
  </si>
  <si>
    <t xml:space="preserve">Operational alerting</t>
  </si>
  <si>
    <t xml:space="preserve">ops_monitor every 15 min, 12 rules, FIRING/RESOLVED state with 6 h re-notify, delivered via the W1 alert channel (alert_log + Telegram when configured)</t>
  </si>
  <si>
    <t xml:space="preserve">Tune thresholds after observation</t>
  </si>
  <si>
    <t xml:space="preserve">Risk</t>
  </si>
  <si>
    <t xml:space="preserve">RK-19</t>
  </si>
  <si>
    <t xml:space="preserve">Stale-data trade protection</t>
  </si>
  <si>
    <t xml:space="preserve">Risk check market_data_fresh (BUY rejected when last bar &gt; 2 sessions behind); LIVE orders validated against the NSE session; live gate additionally requires environment production</t>
  </si>
  <si>
    <t xml:space="preserve">OPS-11</t>
  </si>
  <si>
    <t xml:space="preserve">Release management &amp; deployment</t>
  </si>
  <si>
    <t xml:space="preserve">W31: executed rollback drill (python -m ops rollback-drill) on a scratch clone: verified-backup DB, dashboard-only on 8078, postcheck, timed rollback (stop own PID, git reset to tag, DB re-restore, start, postcheck), recorded; ATIP_INSTANCE_NAME for drill isolation; documented that the PS deploy/rollback scripts stop every main.py on the machine</t>
  </si>
  <si>
    <t xml:space="preserve">Owner-authorized production deployment of W25-W33 (not done by development)</t>
  </si>
  <si>
    <t xml:space="preserve">RK-20</t>
  </si>
  <si>
    <t xml:space="preserve">Unified live-trading master switch</t>
  </si>
  <si>
    <t xml:space="preserve">W1 real orders (order rules, aggressive strategy) also require execution.live_trading_enabled + environment production (BLOCKED_LIVE_DISABLED otherwise); W4 gate + Dhan adapter refusal unchanged</t>
  </si>
  <si>
    <t xml:space="preserve">Enterprise Platform</t>
  </si>
  <si>
    <t xml:space="preserve">ENT-01</t>
  </si>
  <si>
    <t xml:space="preserve">Multi-tenant architecture</t>
  </si>
  <si>
    <t xml:space="preserve">W9 merged in W32: per-tenant paper books + TenantPaperAdapter routing, tenant risk on own book, 186/186 tables classified (W10-W31 tables added), single-resource 404 + list filtering</t>
  </si>
  <si>
    <t xml:space="preserve">QA isolation scenarios (W32 handoff); Postgres (DBS-05)</t>
  </si>
  <si>
    <t xml:space="preserve">DBS-05</t>
  </si>
  <si>
    <t xml:space="preserve">Scalable database</t>
  </si>
  <si>
    <t xml:space="preserve">W38: db/postgres.py translator (placeholders, OR IGNORE/REPLACE on the covered unique key, qualified upserts, date(), GROUP_CONCAT, GREATEST/LEAST, ILIKE, SUM(bool), rowid-&gt;ctid tie-breaks, sqlite_master/PRAGMA via information_schema) + PgConnection; AST dialect scan 99.7% of 1,327 statements; tools/sqlite_to_postgres.py upgrades the copy, migrates schema/triggers/data, resets identities, verifies. Proven on PostgreSQL 16 with a live-DB copy: 213 tables / 497,317 rows identical, 198 GET routes 0 server errors. Opt-in runtime switch (ATIP_DATABASE_URL + database.backend + allow_experimental)</t>
  </si>
  <si>
    <t xml:space="preserve">Run the scheduler's write jobs for a few days on a PostgreSQL copy; connection pool; then decide the switch</t>
  </si>
  <si>
    <t xml:space="preserve">ENT-07</t>
  </si>
  <si>
    <t xml:space="preserve">Secure internet exposure</t>
  </si>
  <si>
    <t xml:space="preserve">Not implemented by design: W7 keeps the 127.0.0.1 bind; exposure needs TLS, MFA, rate limiting, security review</t>
  </si>
  <si>
    <t xml:space="preserve">Owner decision: how ATIP is exposed to the internet (Cloudflare Tunnel / Tailscale / VPS reverse proxy), the domain and TLS</t>
  </si>
  <si>
    <t xml:space="preserve">SEC-02</t>
  </si>
  <si>
    <t xml:space="preserve">Users / RBAC / MFA</t>
  </si>
  <si>
    <t xml:space="preserve">Users/RBAC/TOTP MFA + W32 one-time recovery codes (sha256 digests, login fallback, TOTP needed to generate)</t>
  </si>
  <si>
    <t xml:space="preserve">WebAuthn after ENT-07 (HTTPS origin)</t>
  </si>
  <si>
    <t xml:space="preserve">ENT-05</t>
  </si>
  <si>
    <t xml:space="preserve">Session management</t>
  </si>
  <si>
    <t xml:space="preserve">Sessions (digest-only, expiry, revoke) + W8 refresh tokens: rotation on every use, reuse detection revokes the family and all sessions, HttpOnly cookie scoped to /api/auth/refresh</t>
  </si>
  <si>
    <t xml:space="preserve">User Management</t>
  </si>
  <si>
    <t xml:space="preserve">ENT-02</t>
  </si>
  <si>
    <t xml:space="preserve">User registration/onboarding</t>
  </si>
  <si>
    <t xml:space="preserve">Self-registration, activation, consent, e-mail verification (generic SMTP, sandbox outbox when unset), onboarding checklist + tenant paper account</t>
  </si>
  <si>
    <t xml:space="preserve">OAuth / Google / Apple / mobile OTP (need ENT-07)</t>
  </si>
  <si>
    <t xml:space="preserve">ENT-03</t>
  </si>
  <si>
    <t xml:space="preserve">User profile + risk profile</t>
  </si>
  <si>
    <t xml:space="preserve">Profiles + W32 per-user/tenant capital accounting: risk check profile_max_capital caps BUYs by remaining max_capital (open positions of the tenant's / user's strategies); strategies owned by the creating user</t>
  </si>
  <si>
    <t xml:space="preserve">ENT-06</t>
  </si>
  <si>
    <t xml:space="preserve">Per-user broker credential vault</t>
  </si>
  <si>
    <t xml:space="preserve">W9 vault foundation completed (W37): expiry per broker (daily tokens), credentials_for() as the single audited way connectors obtain a credential (owner falls back to existing Dhan / Zerodha config), read-only verify(), expiring() + daily reminder, key rotation now re-encrypts per-user broker credentials</t>
  </si>
  <si>
    <t xml:space="preserve">QA; owner stores real credentials on /account and runs verify</t>
  </si>
  <si>
    <t xml:space="preserve">Compliance</t>
  </si>
  <si>
    <t xml:space="preserve">ENT-14</t>
  </si>
  <si>
    <t xml:space="preserve">Regulatory approvals</t>
  </si>
  <si>
    <t xml:space="preserve">W38: regulatory sign-off register (10 items: SEBI RA/IA, retail algo framework, broker API terms, NSE data redistribution, DPDP, CERT-In, terms, payments/GST, live-risk sign-off, annual review) gated pre_multi_user / pre_live / ongoing; sign-off needs reviewer + reference, audited; compliance check fails if a gate is crossed with open items; docs/ENT14_REGULATORY_PACK.md</t>
  </si>
  <si>
    <t xml:space="preserve">Legal: a qualified professional must review and sign off each register item (SEBI RA / IA applicability)</t>
  </si>
  <si>
    <t xml:space="preserve">SEC-05</t>
  </si>
  <si>
    <t xml:space="preserve">Compliance monitoring</t>
  </si>
  <si>
    <t xml:space="preserve">W38: ops/compliance.py -- 14 daily checks (audit chain, live gate, algo order controls, exposure, admin MFA, plaintext secrets, encryption key, rotation, backup recency, restore drill, retention purge, DSR SLA, data inventory, regulatory gates) stored per run with evidence, alert when a check worsens, /compliance page, 07:50 job</t>
  </si>
  <si>
    <t xml:space="preserve">Owner: act on the first run's findings (risk_limits unset, 7 plaintext secrets, no encryption key, no restore drill); QA</t>
  </si>
  <si>
    <t xml:space="preserve">ENT-17</t>
  </si>
  <si>
    <t xml:space="preserve">Data privacy</t>
  </si>
  <si>
    <t xml:space="preserve">W38: whole database classified (explicit + rules, gaps flagged), DSR response SLA (due date, overdue, daily reminders), privacy notice generated from the inventory at /privacy (DRAFT until saas.privacy_policy_approved), inventory + DSR tabs on /compliance; W9 consent / export / delete unchanged</t>
  </si>
  <si>
    <t xml:space="preserve">Legal review of the notice (ENT-14 DPDP item); fill saas.company_name / privacy_contact / grievance_officer</t>
  </si>
  <si>
    <t xml:space="preserve">Channels</t>
  </si>
  <si>
    <t xml:space="preserve">ENT-08</t>
  </si>
  <si>
    <t xml:space="preserve">Multi-user web app</t>
  </si>
  <si>
    <t xml:space="preserve">/app user web app + /admin/console (W32), local-only</t>
  </si>
  <si>
    <t xml:space="preserve">Depends on ENT-07 (no exposure decided)</t>
  </si>
  <si>
    <t xml:space="preserve">ENT-04</t>
  </si>
  <si>
    <t xml:space="preserve">Subscriptions &amp; billing</t>
  </si>
  <si>
    <t xml:space="preserve">Plans, subscriptions, invoices DRAFT/OPEN/PAID, provider interface (sandbox/noop), dunning + grace, payment webhook consumer. W39b (gateway decision delegated: Razorpay -- UPI / cards / netbanking, native Subscriptions): enterprise/razorpay.py on the existing payments interface -- REST v1 invoices with idempotent receipts, customers, plans, autopay subscriptions, cancel; signed webhook mapping onto invoices, payments, refunds, dunning and grace (out-of-order safe, money once per Razorpay id); reconcile() polling so payments settle without a public webhook; keys only from the vault; live keys refused without billing.razorpay.allow_live and the production environment</t>
  </si>
  <si>
    <t xml:space="preserve">Owner: a KYC-activated Razorpay business account with Invoices and Subscriptions enabled; store RAZORPAY_KEY_ID / RAZORPAY_KEY_SECRET / WEBHOOK_SECRET_RAZORPAY with python -m ops vault-set; registering the webhook URL needs ENT-07 (public HTTPS)</t>
  </si>
  <si>
    <t xml:space="preserve">ENT-18</t>
  </si>
  <si>
    <t xml:space="preserve">Multi-device login</t>
  </si>
  <si>
    <t xml:space="preserve">Concurrent sessions with IP/user agent; list + revoke one / all (API + /app)</t>
  </si>
  <si>
    <t xml:space="preserve">ENT-19</t>
  </si>
  <si>
    <t xml:space="preserve">Watchlists</t>
  </si>
  <si>
    <t xml:space="preserve">Per-user / shared watchlists</t>
  </si>
  <si>
    <t xml:space="preserve">ENT-11</t>
  </si>
  <si>
    <t xml:space="preserve">Per-user price &amp; AI alerts</t>
  </si>
  <si>
    <t xml:space="preserve">Post-market evaluation on any feature + W32 intraday evaluation on live quotes (close/ltp/change_pct/volume, &lt;=20 min old, once a day) every 15 min</t>
  </si>
  <si>
    <t xml:space="preserve">ENT-10</t>
  </si>
  <si>
    <t xml:space="preserve">Notification channels</t>
  </si>
  <si>
    <t xml:space="preserve">In-app, e-mail (SMTP), Telegram, webhook channels; preferences, quiet hours, digest, unsubscribe; scheduled delivery jobs</t>
  </si>
  <si>
    <t xml:space="preserve">SMS / push / WhatsApp (providers: owner)</t>
  </si>
  <si>
    <t xml:space="preserve">ENT-09</t>
  </si>
  <si>
    <t xml:space="preserve">Mobile apps</t>
  </si>
  <si>
    <t xml:space="preserve">W38: installable mobile web app (PWA) at /m -- read-only phone summary (market health, Nifty/VIX, global, buy/sell, trade of the day, P&amp;L, pipeline, alerts), manifest + service worker (shell cached, no API data cached), offline last-good view; no token in the page</t>
  </si>
  <si>
    <t xml:space="preserve">Native apps: Apple / Google developer accounts and an exposure decision (ENT-07); the PWA (/m) works today on a private network</t>
  </si>
  <si>
    <t xml:space="preserve">API-03</t>
  </si>
  <si>
    <t xml:space="preserve">Versioned public API</t>
  </si>
  <si>
    <t xml:space="preserve">API keys with scopes + per-key limits; /api/v1 alias; v1 OpenAPI contract written by python -m ops api-docs; W39: deprecation policy (docs/API_VERSIONING_POLICY.md) enforced by a registry -- Deprecation / Sunset / Link headers, deprecated in OpenAPI, 410 GONE after sunset, &gt;= 180 days notice validated</t>
  </si>
  <si>
    <t xml:space="preserve">API-04</t>
  </si>
  <si>
    <t xml:space="preserve">Webhooks</t>
  </si>
  <si>
    <t xml:space="preserve">Signed inbound/outbound webhooks + W32 business consumers (payments, broker order.update), event status PROCESSED/IGNORED/FAILED. W39b: the Razorpay provider payloads are mapped (POST /api/webhooks/razorpay: X-Razorpay-Signature HMAC-SHA256 of the raw body, event-id and body-digest dedupe, 72 h replay bound, REJECTED rows for bad signatures)</t>
  </si>
  <si>
    <t xml:space="preserve">Independent QA; verify against real Razorpay test-mode deliveries once ENT-07 gives ATIP a public URL; a broker postback mapping when a broker offers one</t>
  </si>
  <si>
    <t xml:space="preserve">PF-12</t>
  </si>
  <si>
    <t xml:space="preserve">Multi-broker import</t>
  </si>
  <si>
    <t xml:space="preserve">W37: portfolio/imports.py -- CSV tradebook / holdings import from Zerodha, Upstox, Groww, ICICI Direct, Angel or any CSV (column aliases, ISIN / name -&gt; symbol via the NSE bhavcopy), idempotent into the wealth ledger (import:&lt;broker&gt;), holdings open once, Dhan double-count guard, API import via BR-07; /brokers Import tab</t>
  </si>
  <si>
    <t xml:space="preserve">QA with the owner's real broker exports</t>
  </si>
  <si>
    <t xml:space="preserve">BR-07</t>
  </si>
  <si>
    <t xml:space="preserve">Additional brokers</t>
  </si>
  <si>
    <t xml:space="preserve">W37: brokers/ package -- read-only connectors for Dhan (dhanhq), Zerodha (kiteconnect), Upstox (REST v2), Angel One (SmartAPI REST + TOTP) normalised to Holding / Position / Trade; LIVE order adapters map the OMS order to each broker's payload and REFUSE to send (LIVE not built); consolidated holdings</t>
  </si>
  <si>
    <t xml:space="preserve">QA against real accounts (read-only); live orders need owner + ENT-14 decision</t>
  </si>
  <si>
    <t xml:space="preserve">ENT-15</t>
  </si>
  <si>
    <t xml:space="preserve">Multi-asset trading</t>
  </si>
  <si>
    <t xml:space="preserve">W37: execution/options_paper.py paper options book (long premium only, whole lots, premium caps, expiry rules, chain or EOD pricing, intrinsic settlement) + execution/assets.py asset-class registry (EQUITY / ETF / FUTURE / OPTION tradable on paper; COMMODITY / CURRENCY / BOND explicitly research-only)</t>
  </si>
  <si>
    <t xml:space="preserve">Owner: options.enabled; QA; strategies do not emit option intents yet</t>
  </si>
  <si>
    <t xml:space="preserve">Reporting</t>
  </si>
  <si>
    <t xml:space="preserve">ENT-12</t>
  </si>
  <si>
    <t xml:space="preserve">Reports</t>
  </si>
  <si>
    <t xml:space="preserve">Report rendering/export (HTML, CSV), schedules, stored outputs, daily run</t>
  </si>
  <si>
    <t xml:space="preserve">Independent QA. Tax report content is NOT built: Tax is excluded by the owner (deployment tracker, Scope Exclusions sheet); revisit only if the owner re-scopes it</t>
  </si>
  <si>
    <t xml:space="preserve">Administration</t>
  </si>
  <si>
    <t xml:space="preserve">ENT-13</t>
  </si>
  <si>
    <t xml:space="preserve">Administration console</t>
  </si>
  <si>
    <t xml:space="preserve">/admin + /admin/console: tenants, onboarding, payments, dunning/billing runs, privacy decisions, API-key limits, isolation report</t>
  </si>
  <si>
    <t xml:space="preserve">SE-10</t>
  </si>
  <si>
    <t xml:space="preserve">No/low-code strategy builder</t>
  </si>
  <si>
    <t xml:space="preserve">W36: strategy_engine/builder.py + /strategy-builder -- form -&gt; validated W3 rule definition (thresholds become bounded parameters), today's-match preview, save as DRAFT through the normal lifecycle</t>
  </si>
  <si>
    <t xml:space="preserve">QA; backtest builder strategies before promotion</t>
  </si>
  <si>
    <t xml:space="preserve">ML-16</t>
  </si>
  <si>
    <t xml:space="preserve">AI chat assistant</t>
  </si>
  <si>
    <t xml:space="preserve">W36: ml/chat.py + /assistant page -- Claude tool-use loop over 7 read-only tools (market, stock, lists, portfolio, news, score history, symbol search), own daily cost cap, ai_usage_log, server-side refusal fallback, conversations stored; rule-based fallback when off</t>
  </si>
  <si>
    <t xml:space="preserve">Owner: assistant.enabled + working ANTHROPIC_API_KEY; QA</t>
  </si>
  <si>
    <t xml:space="preserve">OPS-04</t>
  </si>
  <si>
    <t xml:space="preserve">Cloud deployment</t>
  </si>
  <si>
    <t xml:space="preserve">W38: Dockerfile (IST, non-root, volume, healthcheck), docker-compose (127.0.0.1-only ports, optional postgres profile), deploy/atip.env.example, cloud-init VM. W39b: the image is BUILT and smoke-tested (dev container + .github/workflows/docker.yml on every PR): --init on an empty volume, /health/live and /health/ready 200, uid 10001, IST, no state / .git / .claude in the image, live_gate() closed; BASE_IMAGE build arg for registry mirrors; .dockerignore fix (local agent worktrees had added 75 MB)</t>
  </si>
  <si>
    <t xml:space="preserve">Owner: choose a host (ENT-16) and exposure (ENT-07); Kubernetes manifests and a registry push only after that</t>
  </si>
  <si>
    <t xml:space="preserve">ENT-16</t>
  </si>
  <si>
    <t xml:space="preserve">Scalability, HA &amp; observability</t>
  </si>
  <si>
    <t xml:space="preserve">Observability (W8) + shared state, job leader lease, DB backend abstraction, sqlite-&gt;postgres tool (W9 merge)</t>
  </si>
  <si>
    <t xml:space="preserve">Owner decision: switch the production runtime to PostgreSQL and choose a cloud host (OPS-04 packaging is ready)</t>
  </si>
  <si>
    <t xml:space="preserve">Wealth</t>
  </si>
  <si>
    <t xml:space="preserve">INV-001</t>
  </si>
  <si>
    <t xml:space="preserve">Investor DNA</t>
  </si>
  <si>
    <t xml:space="preserve">W11: Risk capacity / tolerance / requirement, horizon, behaviour, personality</t>
  </si>
  <si>
    <t xml:space="preserve">Tracker wave 11</t>
  </si>
  <si>
    <t xml:space="preserve">Independent testing (ChatGPT) + UAT; merge after authorization</t>
  </si>
  <si>
    <t xml:space="preserve">WLT-001</t>
  </si>
  <si>
    <t xml:space="preserve">Multi-asset wealth dashboard</t>
  </si>
  <si>
    <t xml:space="preserve">W12: Unified holdings, net worth, allocation, concentration, overlay</t>
  </si>
  <si>
    <t xml:space="preserve">Tracker wave 12</t>
  </si>
  <si>
    <t xml:space="preserve">GOL-001</t>
  </si>
  <si>
    <t xml:space="preserve">Goal planning engine</t>
  </si>
  <si>
    <t xml:space="preserve">W13: Corpus, contributions, CAGR, shortfall, Monte Carlo, scenarios</t>
  </si>
  <si>
    <t xml:space="preserve">Tracker wave 13</t>
  </si>
  <si>
    <t xml:space="preserve">AAL-001</t>
  </si>
  <si>
    <t xml:space="preserve">Dynamic asset allocation</t>
  </si>
  <si>
    <t xml:space="preserve">W14: Strategic + tactical from DNA, goals, regime, ATIP signals</t>
  </si>
  <si>
    <t xml:space="preserve">Tracker wave 14</t>
  </si>
  <si>
    <t xml:space="preserve">RBL-001</t>
  </si>
  <si>
    <t xml:space="preserve">Portfolio rebalancing</t>
  </si>
  <si>
    <t xml:space="preserve">W15: Drift, triggers, cost-aware plans (tax-neutral)</t>
  </si>
  <si>
    <t xml:space="preserve">Tracker wave 15</t>
  </si>
  <si>
    <t xml:space="preserve">PERF-001</t>
  </si>
  <si>
    <t xml:space="preserve">Investor performance attribution</t>
  </si>
  <si>
    <t xml:space="preserve">W15.5 + W39 (PERF-001-01..14 detail gaps closed: see the PERF-001-xx rows)</t>
  </si>
  <si>
    <t xml:space="preserve">Tracker wave 15.5</t>
  </si>
  <si>
    <t xml:space="preserve">Independent QA + owner UAT</t>
  </si>
  <si>
    <t xml:space="preserve">AIA-001</t>
  </si>
  <si>
    <t xml:space="preserve">AI investment advisor</t>
  </si>
  <si>
    <t xml:space="preserve">W16: Evidence-backed, suitability-checked; optional Claude narration</t>
  </si>
  <si>
    <t xml:space="preserve">Tracker wave 16</t>
  </si>
  <si>
    <t xml:space="preserve">INT-001</t>
  </si>
  <si>
    <t xml:space="preserve">Integrated intelligence</t>
  </si>
  <si>
    <t xml:space="preserve">W17: Investor cycle, overview, modes, signal suitability</t>
  </si>
  <si>
    <t xml:space="preserve">Tracker wave 17</t>
  </si>
  <si>
    <t xml:space="preserve">QA-001</t>
  </si>
  <si>
    <t xml:space="preserve">Wealth QA / security / performance</t>
  </si>
  <si>
    <t xml:space="preserve">W18: 70-test wealth suite, security review, performance. W33: static security review. W39: load / latency tool (tools/load_test.py, in-process or against a running dashboard, targets from W18 / W33), Playwright browser smoke tests of every page and tab, QA suite for untested modules; measured p95 145-184 ms over HTTP at 4-8 threads, 0 errors (docs/W39_QA_PERFORMANCE.md)</t>
  </si>
  <si>
    <t xml:space="preserve">Tracker wave 18</t>
  </si>
  <si>
    <t xml:space="preserve">Independent testing (ChatGPT) per W33 handoff; the development suite now runs 820+ tests green (W39); run tools/load_test.py against the production machine</t>
  </si>
  <si>
    <t xml:space="preserve">UAT-001</t>
  </si>
  <si>
    <t xml:space="preserve">Beta / UAT</t>
  </si>
  <si>
    <t xml:space="preserve">W19 personas, persona view, feedback, UAT plan + W33 SaaS personas (platform admin, tenant admin, tenant trader, MFA user) with journeys and acceptance criteria</t>
  </si>
  <si>
    <t xml:space="preserve">Tracker wave 19</t>
  </si>
  <si>
    <t xml:space="preserve">Owner: execute the UAT journeys (docs/W19_UAT_PLAN.md, W33 section 5) and record acceptance</t>
  </si>
  <si>
    <t xml:space="preserve">REL-001</t>
  </si>
  <si>
    <t xml:space="preserve">Wealth production hardening</t>
  </si>
  <si>
    <t xml:space="preserve">W20: Migration 0005, /health/wealth, monitor, backup, docs, RC</t>
  </si>
  <si>
    <t xml:space="preserve">Tracker wave 20</t>
  </si>
  <si>
    <t xml:space="preserve">Wealth / Performance</t>
  </si>
  <si>
    <t xml:space="preserve">PERF-001-01</t>
  </si>
  <si>
    <t xml:space="preserve">Performance data model</t>
  </si>
  <si>
    <t xml:space="preserve">perf_ledger append-only (migration 0005 triggers; UPDATE/DELETE refused); source refs per import; W39: order_ref, signal_ref, fee_breakdown, entry_seq (portable entry order, migration 0006), DEPOSIT / WITHDRAWAL cash rows, paper PARTIALLY_FILLED orders imported (were lost)</t>
  </si>
  <si>
    <t xml:space="preserve">Positions are derived from the ledger by design (no second source of truth); independent QA</t>
  </si>
  <si>
    <t xml:space="preserve">PERF-001-02</t>
  </si>
  <si>
    <t xml:space="preserve">Model Return</t>
  </si>
  <si>
    <t xml:space="preserve">model.build: BUY signals (duplicate_of IS NULL) at the signal close, exit at horizon / SELL signal, equal weight, gross; pure function of signal_log + prices_daily</t>
  </si>
  <si>
    <t xml:space="preserve">PERF-001-03</t>
  </si>
  <si>
    <t xml:space="preserve">Executable Return</t>
  </si>
  <si>
    <t xml:space="preserve">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</si>
  <si>
    <t xml:space="preserve">Parity with the OMS paper fill model is not automated (different fill rule by design)</t>
  </si>
  <si>
    <t xml:space="preserve">PERF-001-04</t>
  </si>
  <si>
    <t xml:space="preserve">Actual Investor Return</t>
  </si>
  <si>
    <t xml:space="preserve">engine.run_actual: average cost, TWR, XIRR, PME; W39: realized P&amp;L / fees / dividends for the period and lifetime-to-end, labelled; whole-account return with cash</t>
  </si>
  <si>
    <t xml:space="preserve">PERF-001-05</t>
  </si>
  <si>
    <t xml:space="preserve">Benchmark Return</t>
  </si>
  <si>
    <t xml:space="preserve">any prices_daily symbol (NIFTY50, NIFTYBANK, midcap, smallcap, sector indices); price return over the same sessions + PME of the investor's flows; W39: days invested shown and exported</t>
  </si>
  <si>
    <t xml:space="preserve">Total-return index (dividends) not available from the data source</t>
  </si>
  <si>
    <t xml:space="preserve">PERF-001-06</t>
  </si>
  <si>
    <t xml:space="preserve">Cost Attribution</t>
  </si>
  <si>
    <t xml:space="preserve">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</si>
  <si>
    <t xml:space="preserve">Independent QA with real broker contract notes</t>
  </si>
  <si>
    <t xml:space="preserve">PERF-001-07</t>
  </si>
  <si>
    <t xml:space="preserve">Position Attribution</t>
  </si>
  <si>
    <t xml:space="preserve">entry timing + averaging + exit timing + costs = actual - model P&amp;L on the same quantity; W39: + sizing effect = actual - model P&amp;L on the model notional</t>
  </si>
  <si>
    <t xml:space="preserve">PERF-001-08</t>
  </si>
  <si>
    <t xml:space="preserve">Return Metrics</t>
  </si>
  <si>
    <t xml:space="preserve">metrics.py + backtest/metrics.py; W39 tests recompute Sharpe, Sortino, max drawdown, beta, alpha, volatility, CAGR with the statistics module</t>
  </si>
  <si>
    <t xml:space="preserve">PERF-001-09</t>
  </si>
  <si>
    <t xml:space="preserve">Signal Attribution</t>
  </si>
  <si>
    <t xml:space="preserve">link_signals: EXACT (the buy carries signal_ref, W39) or WINDOW (first buy within 5 sessions); add-ons, exits, open quantity, momentum outcomes; signal-driven vs discretionary P&amp;L on the period gain (W39)</t>
  </si>
  <si>
    <t xml:space="preserve">PERF-001-10</t>
  </si>
  <si>
    <t xml:space="preserve">Portfolio Attribution</t>
  </si>
  <si>
    <t xml:space="preserve">gain by symbol / sector / asset class on average capital (sums to total); W39: Euler risk contribution (shares sum to 100%, volatility contributions to portfolio volatility), cash account</t>
  </si>
  <si>
    <t xml:space="preserve">PERF-001-11</t>
  </si>
  <si>
    <t xml:space="preserve">Performance Dashboard</t>
  </si>
  <si>
    <t xml:space="preserve">/wealth Performance tab: four returns with definitions and days invested, gaps, actual, costs, contribution, risk contribution, cash account, signal attribution, trades, audit + verify, ledger; overview card shows all four (W39 added EXECUTABLE)</t>
  </si>
  <si>
    <t xml:space="preserve">Owner UAT</t>
  </si>
  <si>
    <t xml:space="preserve">PERF-001-12</t>
  </si>
  <si>
    <t xml:space="preserve">Audit &amp; Explainability</t>
  </si>
  <si>
    <t xml:space="preserve">audit block: methodology + CALCULATION_VERSION (+git), assumptions, ledger / signal / price content sha256, last price date per series, basis fallbacks; W39 verify() rebuilds a saved report and diffs it (GET .../reports/{id}/verify)</t>
  </si>
  <si>
    <t xml:space="preserve">PERF-001-13</t>
  </si>
  <si>
    <t xml:space="preserve">Report Export</t>
  </si>
  <si>
    <t xml:space="preserve">CSV (every section, copied not recomputed) and JSON of a saved report; W39: preview export route, strategy filter (ACTUAL limited to one strategy's trades), printable HTML report (A4, Print / Save as PDF) rendered from the same sections as the CSV</t>
  </si>
  <si>
    <t xml:space="preserve">Owner UAT of the printed layout</t>
  </si>
  <si>
    <t xml:space="preserve">PERF-001-14</t>
  </si>
  <si>
    <t xml:space="preserve">Regression &amp; Edge Cases</t>
  </si>
  <si>
    <t xml:space="preserve">edge-case suite: split, bonus, partial fill, averaging, intraday round trip, OPENING, cash, holiday, missing bars, oversell, future date, void</t>
  </si>
  <si>
    <t xml:space="preserve">OPS-12</t>
  </si>
  <si>
    <t xml:space="preserve">Dhan token auto-renewal (TOTP)</t>
  </si>
  <si>
    <t xml:space="preserve">tools/dhan_token_refresh.py (RenewToken with the documented dhanClientId header, else TOTP + PIN generateAccessToken; writes config or vault), run daily at 06:30 and at login by the macOS LaunchAgent com.atip.dhan-token-refresh (W39, PR #4) and at 08:00 by the Windows task. W39b's own scheduler job was dropped on merging #4 (two renewals a day)</t>
  </si>
  <si>
    <t xml:space="preserve">Owner: add dhan_pin + dhan_totp_secret (or vault them) once; run deploy/launchd/install.sh token</t>
  </si>
  <si>
    <t xml:space="preserve">DP-23</t>
  </si>
  <si>
    <t xml:space="preserve">Long price history (7 years)</t>
  </si>
  <si>
    <t xml:space="preserve">W39 (PR #4, its DP-11): data/history_backfill.py walks each tracked symbol back to 7 years in 365-day windows, resumable (prices_daily_backfill), listing-aware, nightly 22:20 (40 symbols); db/purge.py HISTORY tier keeps prices_daily / ai_scores / predictions 7 years. W39b fix on merge: old windows are stored with today's corporate-action basis. W39b's own backfill was dropped</t>
  </si>
  <si>
    <t xml:space="preserve">Owner: Dhan Data API subscription; the Nifty 500 completes in ~2 weeks of nightly runs</t>
  </si>
  <si>
    <t xml:space="preserve">DB-20</t>
  </si>
  <si>
    <t xml:space="preserve">Stock history like a trading platform</t>
  </si>
  <si>
    <t xml:space="preserve">W26 stock panel + W39: 3Y / 5Y / All, daily / weekly / monthly bars, SMA 20/50/200, EMA 21, Bollinger, log scale, multi-year returns; checked in headless Chromium</t>
  </si>
  <si>
    <t xml:space="preserve">RK-21</t>
  </si>
  <si>
    <t xml:space="preserve">Pre-trade price band + gross leverage</t>
  </si>
  <si>
    <t xml:space="preserve">W39: price band vs LTP / last close in the W4 risk engine and the manual / rule path; NSE circuit limits (Dhan quote upper / lower circuit stored in live_quotes) refuse a price outside today's circuit; paper futures notional in gross exposure; gross-exposure limit on the manual path</t>
  </si>
  <si>
    <t xml:space="preserve">Independent QA; circuit fields confirmed against a live Dhan quote</t>
  </si>
  <si>
    <t xml:space="preserve">AF-09</t>
  </si>
  <si>
    <t xml:space="preserve">Time-series momentum + vol-adjusted 12-1</t>
  </si>
  <si>
    <t xml:space="preserve">W39: tsmom_12m and mom_12_1_vol_adj registered point-in-time factors</t>
  </si>
  <si>
    <t xml:space="preserve">Factor IC research before any score use</t>
  </si>
  <si>
    <t xml:space="preserve">PF-14</t>
  </si>
  <si>
    <t xml:space="preserve">Mean-variance with turnover penalty</t>
  </si>
  <si>
    <t xml:space="preserve">W39: turnover_penalty + current_weights in portfolio/optimize (exact proximal step inside the budget / sector-cap shifts); kappa = 0 reproduces the old solver; route falls back to the book's weights</t>
  </si>
  <si>
    <t xml:space="preserve">PF-15</t>
  </si>
  <si>
    <t xml:space="preserve">Factor neutrality</t>
  </si>
  <si>
    <t xml:space="preserve">W39: normalize.apply neutralize spec (OLS residual, sector dummies); optimiser neutral_to equality constraints</t>
  </si>
  <si>
    <t xml:space="preserve">AF-10</t>
  </si>
  <si>
    <t xml:space="preserve">Volatility surface + term structure</t>
  </si>
  <si>
    <t xml:space="preserve">W39: quant.derivatives.vol_surface from fo_contract_daily (moneyness x expiry grid, ATM term structure, skew, per-strike Greeks); GET /api/data/fo/surface</t>
  </si>
  <si>
    <t xml:space="preserve">Needs F&amp;O contract history (DP-08 store, daily)</t>
  </si>
  <si>
    <t xml:space="preserve">ML-17</t>
  </si>
  <si>
    <t xml:space="preserve">Unsupervised market regime (HMM)</t>
  </si>
  <si>
    <t xml:space="preserve">W39: numpy Gaussian HMM on market features, point-in-time, as regime provider mode 'hmm' (opt-in)</t>
  </si>
  <si>
    <t xml:space="preserve">Owner: choose the regime provider; research validation</t>
  </si>
  <si>
    <t xml:space="preserve">ML-18</t>
  </si>
  <si>
    <t xml:space="preserve">Research-to-production lineage</t>
  </si>
  <si>
    <t xml:space="preserve">W39: ml_model_version.code_version + lineage_json; lineage() manifest + route</t>
  </si>
  <si>
    <t xml:space="preserve">BT-18</t>
  </si>
  <si>
    <t xml:space="preserve">Purged walk-forward for strategies</t>
  </si>
  <si>
    <t xml:space="preserve">W39: purge_sessions / embargo_sessions in backtest/walkforward (default 0 = old behaviour)</t>
  </si>
  <si>
    <t xml:space="preserve">BT-19</t>
  </si>
  <si>
    <t xml:space="preserve">Transaction-cost stress sweep</t>
  </si>
  <si>
    <t xml:space="preserve">W39: cost_sweep over cost / slippage multipliers with interpolated break-even multiplier</t>
  </si>
  <si>
    <t xml:space="preserve">EX-17</t>
  </si>
  <si>
    <t xml:space="preserve">Aggressive exit: enable flag + CRI-spike / momentum-decay exit</t>
  </si>
  <si>
    <t xml:space="preserve">strategy/aggressive.py: ATR trail, T1 partial, T2 checkpoint. W39b (decision taken under the owner's 'take the decisions' instruction): aggressive_enabled=false refuses NEW entries in strategy.live, while open positions keep being managed (stops / targets / trails), so switching it off never strands a position; new cri_exit_threshold (default off) closes the remaining quantity with MARKET_RISK_EXIT when the stock's crash-risk index reaches it, on the existing broker path (pretrade checks incl. price band and circuit limits unchanged); threshold validated to (0, 100]</t>
  </si>
  <si>
    <t xml:space="preserve">Independent QA; the owner picks a CRI threshold (e.g. 80) after reviewing CRI history before turning it on; the aggressive strategy stays unscheduled and PAPER</t>
  </si>
  <si>
    <t xml:space="preserve">EX-18</t>
  </si>
  <si>
    <t xml:space="preserve">Basket orders (paper)</t>
  </si>
  <si>
    <t xml:space="preserve">W39: orders/basket.py -- named baskets, margin / risk pre-check of the whole basket, all-or-nothing PAPER placement through the existing order path</t>
  </si>
  <si>
    <t xml:space="preserve">LIVE placement stays behind the live-trading master switch</t>
  </si>
  <si>
    <t xml:space="preserve">EX-19</t>
  </si>
  <si>
    <t xml:space="preserve">Broker-side GTT / forever orders</t>
  </si>
  <si>
    <t xml:space="preserve">ATIP-side trigger rules (orders/rules.py) fire while ATIP runs; nothing is placed at the broker</t>
  </si>
  <si>
    <t xml:space="preserve">Owner authorization for LIVE broker order placement (live trading is off by design) and the Dhan forever-order API enabled on the account</t>
  </si>
  <si>
    <t xml:space="preserve">EX-20</t>
  </si>
  <si>
    <t xml:space="preserve">Stock SIP (recurring buys, paper)</t>
  </si>
  <si>
    <t xml:space="preserve">W39: orders/sip.py -- monthly / weekly plans by amount or quantity, executed in PAPER by the scheduler, skipped on holidays, history kept</t>
  </si>
  <si>
    <t xml:space="preserve">LIVE SIP stays behind the live-trading master switch</t>
  </si>
  <si>
    <t xml:space="preserve">UX-01</t>
  </si>
  <si>
    <t xml:space="preserve">Investor / Trader mode + progressive disclosure</t>
  </si>
  <si>
    <t xml:space="preserve">Investor / Trader mode preference (W17 INT-001); W39: Simple / Detailed view on /wealth -- Simple hides the audit, ledger and trade-level tables</t>
  </si>
  <si>
    <t xml:space="preserve">Owner UAT of which panels belong in Simple</t>
  </si>
  <si>
    <t xml:space="preserve">Research</t>
  </si>
  <si>
    <t xml:space="preserve">W39-RS</t>
  </si>
  <si>
    <t xml:space="preserve">Equity research reports (RS-01..10)</t>
  </si>
  <si>
    <t xml:space="preserve">research/valuation.py (DCF + scenarios + sensitivity, justified P/B, peer / own-history multiples); research/report.py (12-month targets, ratings, SEBI-style disclosures, calls and hit rate); nightly 20:40</t>
  </si>
  <si>
    <t xml:space="preserve">W39 (PR #4)</t>
  </si>
  <si>
    <t xml:space="preserve">No consensus estimates feed; XBRL key lines only (no 3-statement model); hit rates start from the first report and need PaRRVA review before being shown to others</t>
  </si>
  <si>
    <t xml:space="preserve">W39-SCREENER</t>
  </si>
  <si>
    <t xml:space="preserve">Stock screener: fundamental + technical (SC-20)</t>
  </si>
  <si>
    <t xml:space="preserve">research/screener.py: query language (precedence, NOT, IN, aliases), presets, saved screens with new-match alerts, CSV; /screener</t>
  </si>
  <si>
    <t xml:space="preserve">Derivatives</t>
  </si>
  <si>
    <t xml:space="preserve">W39-OPTIONS</t>
  </si>
  <si>
    <t xml:space="preserve">Options strategy builder (OP-01..05)</t>
  </si>
  <si>
    <t xml:space="preserve">quant/options_strategy.py: templates, payoff and breakevens, POP, Greeks, implied IV, chain pricing; POST /api/options/(build|analyse)</t>
  </si>
  <si>
    <t xml:space="preserve">Analysis only: one-click execution needs the live OMS and the owner's explicit go-ahead</t>
  </si>
  <si>
    <t xml:space="preserve">W39-TECH</t>
  </si>
  <si>
    <t xml:space="preserve">Technical scans, ratings and signals (TA-01..04)</t>
  </si>
  <si>
    <t xml:space="preserve">research/technicals.py + research/tech_signals.py: scans, patterns, ratings, signals with entry / stop / target, confluence, outcomes (TARGET / STOPPED / EXPIRED); nightly 20:30</t>
  </si>
  <si>
    <t xml:space="preserve">Trust a scan only after ~30 closed signals (records start on the first run)</t>
  </si>
  <si>
    <t xml:space="preserve">Market Intelligence</t>
  </si>
  <si>
    <t xml:space="preserve">W39-PULSE</t>
  </si>
  <si>
    <t xml:space="preserve">Market pulse (MP-01..05)</t>
  </si>
  <si>
    <t xml:space="preserve">research/market_pulse.py + data/participant_oi.py: global-cue model, basis-free GIFT gap, FII streak / absorption, NSE participant OI positioning, OI walls; /market-pulse</t>
  </si>
  <si>
    <t xml:space="preserve">Needs Nifty + global history loaded, Dhan index quotes for GIFT, NSE reachable for participant OI</t>
  </si>
  <si>
    <t xml:space="preserve">W39-REGIME</t>
  </si>
  <si>
    <t xml:space="preserve">Market regime gate (RG-01..04)</t>
  </si>
  <si>
    <t xml:space="preserve">research/regime_gate.py: OPEN / CAUTION / CLOSED gate, signals tagged and never alerted against it, 'does the gate help' record</t>
  </si>
  <si>
    <t xml:space="preserve">Thresholds are ATIP's choices (IBD tradition); evidence needs 30+ closed signals per side</t>
  </si>
  <si>
    <t xml:space="preserve">W39-TRACK</t>
  </si>
  <si>
    <t xml:space="preserve">Signal track record by regime and horizon (TR-01..03)</t>
  </si>
  <si>
    <t xml:space="preserve">research/tech_signals.py forward returns and stats, shown next to today's signals</t>
  </si>
  <si>
    <t xml:space="preserve">Useful after a few months of signals</t>
  </si>
  <si>
    <t xml:space="preserve">W39-WEEKLY</t>
  </si>
  <si>
    <t xml:space="preserve">Weekly technical rating (WK-01..02)</t>
  </si>
  <si>
    <t xml:space="preserve">research/technicals.py weekly bars, rating, agreement as screener field and signal attribute</t>
  </si>
  <si>
    <t xml:space="preserve">W39-PATTERNS</t>
  </si>
  <si>
    <t xml:space="preserve">Chart patterns from swing pivots (CP-01..04) and marks on the stock chart</t>
  </si>
  <si>
    <t xml:space="preserve">research/patterns.py: patterns as scans with levels, screener setups, alerts held until a positive 30-signal record. W39b (CP-04): inverse head and shoulders, descending triangle, rising / falling channels (breakout and breakdown each), rising / falling wedges -- 14 pattern scans, each calibrated at 0.02-0.1 % of stock-days on random walks; the stock chart (/api/stock/{symbol}/history chart_marks) marks signals, pattern breakouts, candle patterns and the lines of the patterns in place, on daily / weekly / monthly bars, with a toggle</t>
  </si>
  <si>
    <t xml:space="preserve">Rule-based approximations; independent QA; each new scan needs 30 closed signals before its alerts start</t>
  </si>
  <si>
    <t xml:space="preserve">W39-RSLINE</t>
  </si>
  <si>
    <t xml:space="preserve">RS-line new highs and size-group RS ranks (RL-01..02)</t>
  </si>
  <si>
    <t xml:space="preserve">research/technicals.py RS line; AMFI size groups from shares x price</t>
  </si>
  <si>
    <t xml:space="preserve">W39-DELIVERY</t>
  </si>
  <si>
    <t xml:space="preserve">Delivery-% spike scan (DL-01)</t>
  </si>
  <si>
    <t xml:space="preserve">research/technicals.py delivery spike scan, snapshot fields, preset</t>
  </si>
  <si>
    <t xml:space="preserve">W39-SCORECARD</t>
  </si>
  <si>
    <t xml:space="preserve">Explainable fundamental scorecard (FS-01..03)</t>
  </si>
  <si>
    <t xml:space="preserve">research/scorecard.py: value, earnings, growth, dividend, balance-sheet checks; screener fields and presets; nightly 20:50</t>
  </si>
  <si>
    <t xml:space="preserve">Reported (not forecast) growth; banks / NBFCs miss six checks by design; record needs months</t>
  </si>
  <si>
    <t xml:space="preserve">W39-EVENTS</t>
  </si>
  <si>
    <t xml:space="preserve">Macro event calendar (EV-01..03)</t>
  </si>
  <si>
    <t xml:space="preserve">research/event_calendar.py: seeded dates, config / API additions, band widened after US releases</t>
  </si>
  <si>
    <t xml:space="preserve">Seeded dates reach end-2026 (RBI Feb-2027): add next year's dates each December</t>
  </si>
  <si>
    <t xml:space="preserve">W39-INTRADAY</t>
  </si>
  <si>
    <t xml:space="preserve">Intraday scans on 15-minute bars (IN-01..03)</t>
  </si>
  <si>
    <t xml:space="preserve">research/intraday_signals.py; every 15 minutes 09:45-15:50</t>
  </si>
  <si>
    <t xml:space="preserve">Needs the Dhan Data API (15-minute bars) and 3 sessions of stored bars</t>
  </si>
  <si>
    <t xml:space="preserve">W39-DEPTH20</t>
  </si>
  <si>
    <t xml:space="preserve">20-level depth, depth-weighted imbalance and order-flow imbalance (DP-01..03, OF-01..03)</t>
  </si>
  <si>
    <t xml:space="preserve">data/depth20.py: depth feed (off by default), DWI, OFI summed over every book update, logistic validation vs the next 1 / 5 minutes and OFI vs its own interval</t>
  </si>
  <si>
    <t xml:space="preserve">Owner: depth20.enabled and the Dhan Data API</t>
  </si>
  <si>
    <t xml:space="preserve">W39-GLOBALSYNC</t>
  </si>
  <si>
    <t xml:space="preserve">Synchronised global-cue model (GS-01..03)</t>
  </si>
  <si>
    <t xml:space="preserve">research/global_sync.py: snapshots, walk-forward record vs GIFT</t>
  </si>
  <si>
    <t xml:space="preserve">Needs 40 mornings of snapshots (~2 months)</t>
  </si>
  <si>
    <t xml:space="preserve">W39-NLSCREEN</t>
  </si>
  <si>
    <t xml:space="preserve">English to screener query (NL-01..03)</t>
  </si>
  <si>
    <t xml:space="preserve">research/screener_nl.py: Claude path when enabled, rule translator otherwise; POST /api/screener/ask</t>
  </si>
  <si>
    <t xml:space="preserve">Claude path needs a working Anthropic key (KD-001)</t>
  </si>
  <si>
    <t xml:space="preserve">W39-MCP</t>
  </si>
  <si>
    <t xml:space="preserve">Read-only ATIP MCP server (MC-01..03)</t>
  </si>
  <si>
    <t xml:space="preserve">tools/atip_mcp.py</t>
  </si>
  <si>
    <t xml:space="preserve">Local stdio only (no hosted transport)</t>
  </si>
  <si>
    <t xml:space="preserve">W39-ORDERBOOK</t>
  </si>
  <si>
    <t xml:space="preserve">Order-book pressure and open orders (OB-01..03)</t>
  </si>
  <si>
    <t xml:space="preserve">data/order_pressure.py (every 15 minutes, market hours); portfolio/open_orders.py</t>
  </si>
  <si>
    <t xml:space="preserve">Needs the Dhan Data API; context, not a signal</t>
  </si>
  <si>
    <t xml:space="preserve">W39B-TF75</t>
  </si>
  <si>
    <t xml:space="preserve">75-minute technical rating and its agreement with the daily one</t>
  </si>
  <si>
    <t xml:space="preserve">research/technicals.py bars_75 / rating_75: the daily rating's votes on 75-minute bars built only from stored 15-minute bars (09:15 / 10:30 / 11:45 / 13:00 / 14:15), completed bars only, 35 bars (7 sessions) needed, never a stale session; stored in technical_snapshot (tech_rating_75*, rsi_14_75, supertrend_dir_75, bar_75_end, mtf_alignment_75) by the 20:30 run; screener fields and a preset</t>
  </si>
  <si>
    <t xml:space="preserve">W39b (PR #5)</t>
  </si>
  <si>
    <t xml:space="preserve">Independent QA; no live intraday refresh (once a day, as of the close); /signals has no 75-minute column</t>
  </si>
  <si>
    <t xml:space="preserve">W39B-DVM</t>
  </si>
  <si>
    <t xml:space="preserve">DVM view: durability, valuation, momentum 0-100 and zones</t>
  </si>
  <si>
    <t xml:space="preserve">research/dvm.py: durability from the scorecard's 12 health / past-performance checks, valuation from the research fair value (60 %) and P/E (P/B for financials) vs the industry median (40 %), momentum from the technical and RS ratings; every score explains itself with its numbers; seven zones; stored nightly on fundamental_scorecard (dvm_*); GET /api/research/dvm/{symbol}; DVM card on /research; 3 screener presets</t>
  </si>
  <si>
    <t xml:space="preserve">Independent QA; weights are ATIP's definitions, not backtested -- record whether the zones pay before using them</t>
  </si>
  <si>
    <t xml:space="preserve">W39B-PEAD</t>
  </si>
  <si>
    <t xml:space="preserve">Earnings surprise (SUE), EPS-trend proxy and a post-earnings-drift scan</t>
  </si>
  <si>
    <t xml:space="preserve">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</si>
  <si>
    <t xml:space="preserve">For a consensus-based surprise: a consensus estimates feed (not available today)</t>
  </si>
  <si>
    <t xml:space="preserve">Wealth / Mutual funds</t>
  </si>
  <si>
    <t xml:space="preserve">W39B-MFA</t>
  </si>
  <si>
    <t xml:space="preserve">Mutual fund analytics on stored AMFI NAVs (read-only)</t>
  </si>
  <si>
    <t xml:space="preserve">data/mf_analytics.py: point-to-point and CAGR returns, 1Y / 3Y rolling returns with hurdle stats, volatility / Sharpe / Sortino, drawdown with dates, beta / alpha / tracking error vs a price index, SIP and lump-sum XIRR, category rank among stored schemes, side-by-side compare; 3 read-only GET routes; scheme detail card on /data-platform</t>
  </si>
  <si>
    <t xml:space="preserve">Independent QA. Holding MFs in the wealth ledger stays out of scope (owner Scope Exclusions); benchmark is a price index, not total return; peers limited to stored schemes</t>
  </si>
  <si>
    <t xml:space="preserve">Database (MySQL)</t>
  </si>
  <si>
    <t xml:space="preserve">PR8-MYSQL</t>
  </si>
  <si>
    <t xml:space="preserve">MySQL runtime switch</t>
  </si>
  <si>
    <t xml:space="preserve">Translates the SQL constructs MySQL rejects (CAST, derived tables, self-reference), quotes MySQL-reserved column names (a test now keeps it at zero), fixes the two upserts that broke, pins the MySQL session time zone. SQLite stays the default; MySQL stays behind allow_experimental.</t>
  </si>
  <si>
    <t xml:space="preserve">PR #8</t>
  </si>
  <si>
    <t xml:space="preserve">claude/awesome-dijkstra-fmccpl</t>
  </si>
  <si>
    <t xml:space="preserve">PASS - full suite 1,336 passed (CI green)</t>
  </si>
  <si>
    <t xml:space="preserve">-</t>
  </si>
  <si>
    <t xml:space="preserve">https://github.com/sanjaymorankar-debug/ATIP-DEV/pull/8</t>
  </si>
  <si>
    <t xml:space="preserve">macOS</t>
  </si>
  <si>
    <t xml:space="preserve">PF-1</t>
  </si>
  <si>
    <t xml:space="preserve">Run ATIP on macOS</t>
  </si>
  <si>
    <t xml:space="preserve">start_atip.sh, LaunchAgents for the platform, the 5-minute snapshot upload and the daily Dhan token refresh; paths resolved from the script's own location</t>
  </si>
  <si>
    <t xml:space="preserve">PR #1</t>
  </si>
  <si>
    <t xml:space="preserve">Owner check on the Mac</t>
  </si>
  <si>
    <t xml:space="preserve">https://github.com/sanjaymorankar-debug/ATIP-DEV/pull/1</t>
  </si>
  <si>
    <t xml:space="preserve">MySQL and PostgreSQL backends, data migration, serving at /ATIP/</t>
  </si>
  <si>
    <t xml:space="preserve">db.mysql / db.postgres translation layers, tools/sqlite_to_mysql.py and sqlite_to_postgres.py, ATIP_ROOT_PATH for serving under /ATIP/</t>
  </si>
  <si>
    <t xml:space="preserve">PR #1, #3</t>
  </si>
  <si>
    <t xml:space="preserve">PF-2</t>
  </si>
  <si>
    <t xml:space="preserve">Schema scripts for a fresh database</t>
  </si>
  <si>
    <t xml:space="preserve">db/sql: SQLite, PostgreSQL and MySQL scripts generated from db.schema, verified against real servers</t>
  </si>
  <si>
    <t xml:space="preserve">PR #2</t>
  </si>
  <si>
    <t xml:space="preserve">https://github.com/sanjaymorankar-debug/ATIP-DEV/pull/2</t>
  </si>
  <si>
    <t xml:space="preserve">PF-6</t>
  </si>
  <si>
    <t xml:space="preserve">--init reports the database it built</t>
  </si>
  <si>
    <t xml:space="preserve">main.py --init names the backend and database it actually created instead of always a SQLite path</t>
  </si>
  <si>
    <t xml:space="preserve">PR #6</t>
  </si>
  <si>
    <t xml:space="preserve">https://github.com/sanjaymorankar-debug/ATIP-DEV/pull/6</t>
  </si>
  <si>
    <t xml:space="preserve">Docs</t>
  </si>
  <si>
    <t xml:space="preserve">PF-7</t>
  </si>
  <si>
    <t xml:space="preserve">Mac setup notes in the README</t>
  </si>
  <si>
    <t xml:space="preserve">Python 3.11+ from Homebrew, .env for the API key, Documents privacy, iCloud, sleep and time-zone checks</t>
  </si>
  <si>
    <t xml:space="preserve">PR #7</t>
  </si>
  <si>
    <t xml:space="preserve">https://github.com/sanjaymorankar-debug/ATIP-DEV/pull/7</t>
  </si>
  <si>
    <t xml:space="preserve">Website</t>
  </si>
  <si>
    <t xml:space="preserve">BK-01</t>
  </si>
  <si>
    <t xml:space="preserve">Landing page and custom domain</t>
  </si>
  <si>
    <t xml:space="preserve">Placeholder landing page and CNAME for bkesari.com</t>
  </si>
  <si>
    <t xml:space="preserve">PR #2, #3</t>
  </si>
  <si>
    <t xml:space="preserve">Merged to main</t>
  </si>
  <si>
    <t xml:space="preserve">In local main</t>
  </si>
  <si>
    <t xml:space="preserve">No dedicated test</t>
  </si>
  <si>
    <t xml:space="preserve">https://github.com/sanjaymorankar-debug/bkesari/pull/2</t>
  </si>
  <si>
    <t xml:space="preserve">Platform</t>
  </si>
  <si>
    <t xml:space="preserve">BK-02</t>
  </si>
  <si>
    <t xml:space="preserve">Marketplace app foundation</t>
  </si>
  <si>
    <t xml:space="preserve">Next.js 16, React 19, TypeScript, Tailwind v4, Drizzle ORM (PostgreSQL at first, MySQL since PR #9), Auth.js (Google OAuth; email-only sign-in in development)</t>
  </si>
  <si>
    <t xml:space="preserve">PR #4</t>
  </si>
  <si>
    <t xml:space="preserve">PASS - Automated tests: authorization.test.ts, acceptance.spec.ts (E2E)</t>
  </si>
  <si>
    <t xml:space="preserve">https://github.com/sanjaymorankar-debug/bkesari/pull/4</t>
  </si>
  <si>
    <t xml:space="preserve">Catalogue</t>
  </si>
  <si>
    <t xml:space="preserve">BK-03</t>
  </si>
  <si>
    <t xml:space="preserve">Catalogue and shop browsing</t>
  </si>
  <si>
    <t xml:space="preserve">Home, Dairy, Bakery, Shops, shop page, search; seed with 5 demo shops, 18 categories, 40 products</t>
  </si>
  <si>
    <t xml:space="preserve">PASS - Automated tests: acceptance.spec.ts (E2E)</t>
  </si>
  <si>
    <t xml:space="preserve">BK-04</t>
  </si>
  <si>
    <t xml:space="preserve">Online / offline product control</t>
  </si>
  <si>
    <t xml:space="preserve">A product is purchasable online only if shop APPROVED, offering active, online enabled, online price set and stock suffices; enforced server-side and by DB CHECK constraints</t>
  </si>
  <si>
    <t xml:space="preserve">PASS - Automated tests: checkout.test.ts</t>
  </si>
  <si>
    <t xml:space="preserve">Shops</t>
  </si>
  <si>
    <t xml:space="preserve">BK-05</t>
  </si>
  <si>
    <t xml:space="preserve">Kesari / Green shop classification</t>
  </si>
  <si>
    <t xml:space="preserve">Operator/admin-only classification; shop owners cannot change their own; every change audited</t>
  </si>
  <si>
    <t xml:space="preserve">PASS - Automated tests: authorization.test.ts</t>
  </si>
  <si>
    <t xml:space="preserve">Orders</t>
  </si>
  <si>
    <t xml:space="preserve">BK-06</t>
  </si>
  <si>
    <t xml:space="preserve">Cart and checkout</t>
  </si>
  <si>
    <t xml:space="preserve">Server-validated cart, checkout from wallet, order lines snapshot name and price</t>
  </si>
  <si>
    <t xml:space="preserve">Wallet</t>
  </si>
  <si>
    <t xml:space="preserve">BK-07</t>
  </si>
  <si>
    <t xml:space="preserve">Wallet with append-only ledger</t>
  </si>
  <si>
    <t xml:space="preserve">Integer paise, concurrency-safe debits, overdraw impossible, replay-safe operations, self-verifying ledger</t>
  </si>
  <si>
    <t xml:space="preserve">PASS - Automated tests: wallet.test.ts</t>
  </si>
  <si>
    <t xml:space="preserve">Subscriptions</t>
  </si>
  <si>
    <t xml:space="preserve">BK-08</t>
  </si>
  <si>
    <t xml:space="preserve">Daily subscription engine</t>
  </si>
  <si>
    <t xml:space="preserve">Weekly schedule, pause, skip, per-date override, retry after top-up, calendar; idempotent daily-order cron (/api/cron/daily-orders)</t>
  </si>
  <si>
    <t xml:space="preserve">PASS - Automated tests: subscription-engine.test.ts, schedule.test.ts</t>
  </si>
  <si>
    <t xml:space="preserve">Schedule the cron once daily on the host (DEPLOYMENT.md section 5)</t>
  </si>
  <si>
    <t xml:space="preserve">Admin</t>
  </si>
  <si>
    <t xml:space="preserve">BK-09</t>
  </si>
  <si>
    <t xml:space="preserve">Shop registration, approval and dashboards</t>
  </si>
  <si>
    <t xml:space="preserve">Shop registration, operator approve/reject, operator and admin dashboards, notifications, audit log of sensitive mutations</t>
  </si>
  <si>
    <t xml:space="preserve">Build</t>
  </si>
  <si>
    <t xml:space="preserve">BK-10</t>
  </si>
  <si>
    <t xml:space="preserve">Hostinger build fix</t>
  </si>
  <si>
    <t xml:space="preserve">Tailwind CSS dependencies moved to dependencies so the hosted build succeeds</t>
  </si>
  <si>
    <t xml:space="preserve">PR #5</t>
  </si>
  <si>
    <t xml:space="preserve">https://github.com/sanjaymorankar-debug/bkesari/pull/5</t>
  </si>
  <si>
    <t xml:space="preserve">Users</t>
  </si>
  <si>
    <t xml:space="preserve">BK-11</t>
  </si>
  <si>
    <t xml:space="preserve">Role assignment and 44 shop types</t>
  </si>
  <si>
    <t xml:space="preserve">Admin role assignment; generalised from dairy/bakery to 44 shop types with category pages</t>
  </si>
  <si>
    <t xml:space="preserve">https://github.com/sanjaymorankar-debug/bkesari/pull/6</t>
  </si>
  <si>
    <t xml:space="preserve">BK-12</t>
  </si>
  <si>
    <t xml:space="preserve">Three-role RBAC: price approval, Excel upload, fees, referrals</t>
  </si>
  <si>
    <t xml:space="preserve">Price-change approval workflow with override, Excel goods upload with price templates, shop registration fees, referral codes, shop payments with reversal</t>
  </si>
  <si>
    <t xml:space="preserve">PR #7 (commit 6c1d1dc)</t>
  </si>
  <si>
    <t xml:space="preserve">PASS - Automated tests: price-approval, excel-goods-upload, registration-fees, excel-parsing</t>
  </si>
  <si>
    <t xml:space="preserve">https://github.com/sanjaymorankar-debug/bkesari/pull/7</t>
  </si>
  <si>
    <t xml:space="preserve">BK-13</t>
  </si>
  <si>
    <t xml:space="preserve">Shop-owner product creation</t>
  </si>
  <si>
    <t xml:space="preserve">Shop owners create new products; admin per-shop product management</t>
  </si>
  <si>
    <t xml:space="preserve">commit 0f86b01</t>
  </si>
  <si>
    <t xml:space="preserve">PASS - Automated tests: product-management.test.ts</t>
  </si>
  <si>
    <t xml:space="preserve">https://github.com/sanjaymorankar-debug/bkesari/commit/0f86b01</t>
  </si>
  <si>
    <t xml:space="preserve">BK-14</t>
  </si>
  <si>
    <t xml:space="preserve">Vouchers, promotional balance, cancel and refund</t>
  </si>
  <si>
    <t xml:space="preserve">Voucher system (bulk upload, preview, redemptions, dashboard), promotional-first spending, order cancel/refund that preserves the funding split</t>
  </si>
  <si>
    <t xml:space="preserve">commit 04f34f2</t>
  </si>
  <si>
    <t xml:space="preserve">PASS - Automated tests: vouchers, payments-voucher, wallet-promotional, order-cancel-refund</t>
  </si>
  <si>
    <t xml:space="preserve">https://github.com/sanjaymorankar-debug/bkesari/commit/04f34f2</t>
  </si>
  <si>
    <t xml:space="preserve">BK-15</t>
  </si>
  <si>
    <t xml:space="preserve">India legal and regulatory compliance</t>
  </si>
  <si>
    <t xml:space="preserve">10 legal pages (terms, privacy, refund, shipping, cookies, seller, subscription, wallet, voucher, grievance), consent records, grievance filing and lookup, shop compliance</t>
  </si>
  <si>
    <t xml:space="preserve">commit c3f106d</t>
  </si>
  <si>
    <t xml:space="preserve">PASS - Automated tests: consents.test.ts, grievances.test.ts</t>
  </si>
  <si>
    <t xml:space="preserve">https://github.com/sanjaymorankar-debug/bkesari/commit/c3f106d</t>
  </si>
  <si>
    <t xml:space="preserve">BK-16</t>
  </si>
  <si>
    <t xml:space="preserve">About Us and Contact Us pages</t>
  </si>
  <si>
    <t xml:space="preserve">Static pages</t>
  </si>
  <si>
    <t xml:space="preserve">commit e6ee64d</t>
  </si>
  <si>
    <t xml:space="preserve">https://github.com/sanjaymorankar-debug/bkesari/commit/e6ee64d</t>
  </si>
  <si>
    <t xml:space="preserve">Payments</t>
  </si>
  <si>
    <t xml:space="preserve">BK-17</t>
  </si>
  <si>
    <t xml:space="preserve">Cashfree payment gateway</t>
  </si>
  <si>
    <t xml:space="preserve">Wallet top-up through Cashfree (replaced Razorpay); credit only after server-side confirmation; webhook; MOCK mode without keys</t>
  </si>
  <si>
    <t xml:space="preserve">commit 89960a6</t>
  </si>
  <si>
    <t xml:space="preserve">PASS - Automated tests: payments.test.ts, cashfree-order-confirmation.test.ts, webhook-signature.test.ts</t>
  </si>
  <si>
    <t xml:space="preserve">Live keys + webhook URL needed in production</t>
  </si>
  <si>
    <t xml:space="preserve">https://github.com/sanjaymorankar-debug/bkesari/commit/89960a6</t>
  </si>
  <si>
    <t xml:space="preserve">Branding</t>
  </si>
  <si>
    <t xml:space="preserve">BK-18</t>
  </si>
  <si>
    <t xml:space="preserve">General shop marketplace rebrand</t>
  </si>
  <si>
    <t xml:space="preserve">Rebranded from Dairy &amp; Bakery to a general shop marketplace</t>
  </si>
  <si>
    <t xml:space="preserve">commit ef465f6</t>
  </si>
  <si>
    <t xml:space="preserve">https://github.com/sanjaymorankar-debug/bkesari/commit/ef465f6</t>
  </si>
  <si>
    <t xml:space="preserve">BK-23</t>
  </si>
  <si>
    <t xml:space="preserve">GST / PAN self-service verification</t>
  </si>
  <si>
    <t xml:space="preserve">Shop owners submit GST/PAN; PAN encrypted at rest (AES-256-GCM); admin verify/reject/reveal</t>
  </si>
  <si>
    <t xml:space="preserve">commit e40d6e4</t>
  </si>
  <si>
    <t xml:space="preserve">PASS - Automated tests: gst-pan-verification.test.ts</t>
  </si>
  <si>
    <t xml:space="preserve">PAN_ENCRYPTION_KEY must be set before any PAN is submitted</t>
  </si>
  <si>
    <t xml:space="preserve">https://github.com/sanjaymorankar-debug/bkesari/commit/e40d6e4</t>
  </si>
  <si>
    <t xml:space="preserve">BK-24</t>
  </si>
  <si>
    <t xml:space="preserve">Legal entity and grievance officer details</t>
  </si>
  <si>
    <t xml:space="preserve">Placeholders filled in on legal pages</t>
  </si>
  <si>
    <t xml:space="preserve">commit 8710759</t>
  </si>
  <si>
    <t xml:space="preserve">https://github.com/sanjaymorankar-debug/bkesari/commit/8710759</t>
  </si>
  <si>
    <t xml:space="preserve">Delivery</t>
  </si>
  <si>
    <t xml:space="preserve">BK-19</t>
  </si>
  <si>
    <t xml:space="preserve">Delivery slice A: location capture</t>
  </si>
  <si>
    <t xml:space="preserve">Saved addresses, Google Maps geocoding, verify-location, Maps usage cap</t>
  </si>
  <si>
    <t xml:space="preserve">commit 59411c7</t>
  </si>
  <si>
    <t xml:space="preserve">PASS - Automated tests: addresses, geocoding, shop-location</t>
  </si>
  <si>
    <t xml:space="preserve">GOOGLE_MAPS_SERVER_API_KEY optional (manual entry without it)</t>
  </si>
  <si>
    <t xml:space="preserve">https://github.com/sanjaymorankar-debug/bkesari/commit/59411c7</t>
  </si>
  <si>
    <t xml:space="preserve">BK-20</t>
  </si>
  <si>
    <t xml:space="preserve">Delivery slice B: partner registration</t>
  </si>
  <si>
    <t xml:space="preserve">Delivery-partner apply/register, verification and status</t>
  </si>
  <si>
    <t xml:space="preserve">commit 7d15d86</t>
  </si>
  <si>
    <t xml:space="preserve">PASS - Automated tests: delivery-partners.test.ts</t>
  </si>
  <si>
    <t xml:space="preserve">https://github.com/sanjaymorankar-debug/bkesari/commit/7d15d86</t>
  </si>
  <si>
    <t xml:space="preserve">BK-21</t>
  </si>
  <si>
    <t xml:space="preserve">Delivery slice C: assignment, tracking, earnings</t>
  </si>
  <si>
    <t xml:space="preserve">Order assignment, partner deliveries and location tracking, earnings and earnings config, delivery windows at checkout</t>
  </si>
  <si>
    <t xml:space="preserve">commit 64ab175</t>
  </si>
  <si>
    <t xml:space="preserve">PASS - Automated tests: delivery-assignment.test.ts</t>
  </si>
  <si>
    <t xml:space="preserve">https://github.com/sanjaymorankar-debug/bkesari/commit/64ab175</t>
  </si>
  <si>
    <t xml:space="preserve">BK-22</t>
  </si>
  <si>
    <t xml:space="preserve">Shop owner name and grid/list view</t>
  </si>
  <si>
    <t xml:space="preserve">Owner/proprietor name on shop page and cards; grid/list toggle; classification badge hidden for now</t>
  </si>
  <si>
    <t xml:space="preserve">commits 9f7b290, 97626e3</t>
  </si>
  <si>
    <t xml:space="preserve">https://github.com/sanjaymorankar-debug/bkesari/commit/9f7b290</t>
  </si>
  <si>
    <t xml:space="preserve">BK-25</t>
  </si>
  <si>
    <t xml:space="preserve">Bkesari branding restored</t>
  </si>
  <si>
    <t xml:space="preserve">GoKesari rebrand (2026-09-01) reverted to Bkesari and @bkesari.com addresses; subscription test fixtures anchored to today; admin-email typo fixed</t>
  </si>
  <si>
    <t xml:space="preserve">PASS - Automated tests: subscription-engine.test.ts</t>
  </si>
  <si>
    <t xml:space="preserve">https://github.com/sanjaymorankar-debug/bkesari/pull/8</t>
  </si>
  <si>
    <t xml:space="preserve">BK-26</t>
  </si>
  <si>
    <t xml:space="preserve">SEC-03: permanent admins from environment</t>
  </si>
  <si>
    <t xml:space="preserve">Hard-coded permanent-admin list moved to PERMANENT_ADMIN_EMAILS</t>
  </si>
  <si>
    <t xml:space="preserve">PR #11</t>
  </si>
  <si>
    <t xml:space="preserve">PASS - Automated tests: env-admin-emails.test.ts</t>
  </si>
  <si>
    <t xml:space="preserve">Set PERMANENT_ADMIN_EMAILS on each host</t>
  </si>
  <si>
    <t xml:space="preserve">https://github.com/sanjaymorankar-debug/bkesari/pull/11</t>
  </si>
  <si>
    <t xml:space="preserve">BK-27</t>
  </si>
  <si>
    <t xml:space="preserve">Port to MySQL for Hostinger</t>
  </si>
  <si>
    <t xml:space="preserve">PostgreSQL to MySQL port of the whole app; RETURNING helpers made atomic; timestamp precision</t>
  </si>
  <si>
    <t xml:space="preserve">PR #9</t>
  </si>
  <si>
    <t xml:space="preserve">claude/amazing-cannon-5n3fro</t>
  </si>
  <si>
    <t xml:space="preserve">PASS - 284/284 on MySQL (CI green)</t>
  </si>
  <si>
    <t xml:space="preserve">https://github.com/sanjaymorankar-debug/bkesari/pull/9</t>
  </si>
  <si>
    <t xml:space="preserve">Deployment</t>
  </si>
  <si>
    <t xml:space="preserve">BK-28</t>
  </si>
  <si>
    <t xml:space="preserve">Dev-only deploy workflow and .env.example</t>
  </si>
  <si>
    <t xml:space="preserve">GitHub Actions dev deployment; DEPLOYMENT.md rewritten for MySQL; adds the .env.example the README refers to</t>
  </si>
  <si>
    <t xml:space="preserve">BK-29</t>
  </si>
  <si>
    <t xml:space="preserve">Serve the app under /milk</t>
  </si>
  <si>
    <t xml:space="preserve">basePath /milk so it can sit behind the bkesari.com hub, plus a build fix</t>
  </si>
  <si>
    <t xml:space="preserve">BK-30</t>
  </si>
  <si>
    <t xml:space="preserve">Record that bkesari and GoKesari have diverged</t>
  </si>
  <si>
    <t xml:space="preserve">README notice only</t>
  </si>
  <si>
    <t xml:space="preserve">PR #10</t>
  </si>
  <si>
    <t xml:space="preserve">https://github.com/sanjaymorankar-debug/bkesari/pull/10</t>
  </si>
  <si>
    <t xml:space="preserve">Testing</t>
  </si>
  <si>
    <t xml:space="preserve">BK-31</t>
  </si>
  <si>
    <t xml:space="preserve">Tests pass with a .env made from .env.example</t>
  </si>
  <si>
    <t xml:space="preserve">tests/setup.ts fills blank test secrets (||= instead of ??=); 11 geocoding tests failed before</t>
  </si>
  <si>
    <t xml:space="preserve">PR #13</t>
  </si>
  <si>
    <t xml:space="preserve">claude/epic-brown-iurf1w</t>
  </si>
  <si>
    <t xml:space="preserve">PASS - 284/284 on MySQL, also with a .env copied from .env.example (CI green)</t>
  </si>
  <si>
    <t xml:space="preserve">https://github.com/sanjaymorankar-debug/bkesari/pull/13</t>
  </si>
  <si>
    <t xml:space="preserve">BK-32</t>
  </si>
  <si>
    <t xml:space="preserve">Admin dashboard works on MySQL; migrate reads DB_* settings</t>
  </si>
  <si>
    <t xml:space="preserve">Two PostgreSQL ::bigint casts left in src/app/admin/page.tsx made /admin answer 500 on MySQL; db:migrate now builds its URL from DB_* like the app; README brought to MySQL. Opened by another session</t>
  </si>
  <si>
    <t xml:space="preserve">PR #12</t>
  </si>
  <si>
    <t xml:space="preserve">claude/charming-edison-ofoncf</t>
  </si>
  <si>
    <t xml:space="preserve">https://github.com/sanjaymorankar-debug/bkesari/pull/12</t>
  </si>
  <si>
    <t xml:space="preserve">BK-33</t>
  </si>
  <si>
    <t xml:space="preserve">Test database gets its own migrate command</t>
  </si>
  <si>
    <t xml:space="preserve">npm run db:migrate:test applies the schema to TEST_DATABASE_URL from .env, instead of a bash-only DATABASE_URL=... prefix. Opened by another session on 2026-10-09</t>
  </si>
  <si>
    <t xml:space="preserve">PR #14</t>
  </si>
  <si>
    <t xml:space="preserve">No</t>
  </si>
  <si>
    <t xml:space="preserve">Open PR - not merged</t>
  </si>
  <si>
    <t xml:space="preserve">Only on branch claude/awesome-dijkstra-fmccpl</t>
  </si>
  <si>
    <t xml:space="preserve">IN REVIEW (open PR)</t>
  </si>
  <si>
    <t xml:space="preserve">Its author reports 284/284 on MySQL 8.0; not re-run here</t>
  </si>
  <si>
    <t xml:space="preserve">Review, then merge or close PR #14</t>
  </si>
  <si>
    <t xml:space="preserve">https://github.com/sanjaymorankar-debug/bkesari/pull/14</t>
  </si>
  <si>
    <t xml:space="preserve">Portal</t>
  </si>
  <si>
    <t xml:space="preserve">PL-01</t>
  </si>
  <si>
    <t xml:space="preserve">Welcome portal with site menu</t>
  </si>
  <si>
    <t xml:space="preserve">bkesari.com landing page; menu picks test or production links from the address it is opened on</t>
  </si>
  <si>
    <t xml:space="preserve">commits 8f5356b, f88b45e</t>
  </si>
  <si>
    <t xml:space="preserve">PASS - 44 tests + 32 guard checks; Task Tracker saves to MySQL</t>
  </si>
  <si>
    <t xml:space="preserve">https://github.com/sanjaymorankar-debug/bkesari-platform/commit/8f5356b</t>
  </si>
  <si>
    <t xml:space="preserve">PL-02</t>
  </si>
  <si>
    <t xml:space="preserve">Task Tracker (/tasks/)</t>
  </si>
  <si>
    <t xml:space="preserve">Projects and tasks with owner, status, planned/actual dates, current/next step, timestamped status updates, dashboard counts, overdue flag, search and filter; login-protected</t>
  </si>
  <si>
    <t xml:space="preserve">commit 8f5356b</t>
  </si>
  <si>
    <t xml:space="preserve">Set TRACKER_USER / TRACKER_PASSWORD</t>
  </si>
  <si>
    <t xml:space="preserve">PL-03</t>
  </si>
  <si>
    <t xml:space="preserve">ATIP read-only viewer (/atip/)</t>
  </si>
  <si>
    <t xml:space="preserve">Token-protected snapshot upload from your PC, login-protected viewer, order buttons hidden, CSP blocks all network calls</t>
  </si>
  <si>
    <t xml:space="preserve">commits 4e864ef, f88b45e</t>
  </si>
  <si>
    <t xml:space="preserve">Set ATIP_USER / ATIP_PASSWORD / ATIP_PUBLISH_TOKEN</t>
  </si>
  <si>
    <t xml:space="preserve">https://github.com/sanjaymorankar-debug/bkesari-platform/commit/4e864ef</t>
  </si>
  <si>
    <t xml:space="preserve">PL-04</t>
  </si>
  <si>
    <t xml:space="preserve">MySQL / SQLite database adapter</t>
  </si>
  <si>
    <t xml:space="preserve">Same SQL on MySQL (Hostinger) and SQLite (local, node:sqlite, Node 22.13+)</t>
  </si>
  <si>
    <t xml:space="preserve">Monorepo</t>
  </si>
  <si>
    <t xml:space="preserve">PL-05</t>
  </si>
  <si>
    <t xml:space="preserve">Combined repo: portal + edu + atip</t>
  </si>
  <si>
    <t xml:space="preserve">Portal (from bkesari-portal), Education (from edu, feature/spec-v2-build) and a copy of ATIP combined into one repo</t>
  </si>
  <si>
    <t xml:space="preserve">commits 69c012b..f88b45e</t>
  </si>
  <si>
    <t xml:space="preserve">No automated tests</t>
  </si>
  <si>
    <t xml:space="preserve">https://github.com/sanjaymorankar-debug/bkesari-platform/commit/69c012b</t>
  </si>
  <si>
    <t xml:space="preserve">ATIP copy</t>
  </si>
  <si>
    <t xml:space="preserve">PL-06</t>
  </si>
  <si>
    <t xml:space="preserve">Vendored ATIP snapshot in atip/</t>
  </si>
  <si>
    <t xml:space="preserve">Copy of ATIP as of 2026-09-10. Removed by PR #1 on 2026-10-08; atip/ now only points to the ATIP-DEV repo</t>
  </si>
  <si>
    <t xml:space="preserve">commit 62b88a6</t>
  </si>
  <si>
    <t xml:space="preserve">SUPERSEDED</t>
  </si>
  <si>
    <t xml:space="preserve">Use ATIP-DEV</t>
  </si>
  <si>
    <t xml:space="preserve">https://github.com/sanjaymorankar-debug/bkesari-platform/commit/62b88a6</t>
  </si>
  <si>
    <t xml:space="preserve">PL-07</t>
  </si>
  <si>
    <t xml:space="preserve">phpMyAdmin SQL deployment scripts</t>
  </si>
  <si>
    <t xml:space="preserve">Runnable SQL for edu (schema, reference, demo, first admin), ladwani and portal</t>
  </si>
  <si>
    <t xml:space="preserve">commit aeb7336</t>
  </si>
  <si>
    <t xml:space="preserve">https://github.com/sanjaymorankar-debug/bkesari-platform/commit/aeb7336</t>
  </si>
  <si>
    <t xml:space="preserve">PL-08</t>
  </si>
  <si>
    <t xml:space="preserve">Ladwani full-rebuild schema</t>
  </si>
  <si>
    <t xml:space="preserve">69-table schema + reference data + first admin from the NestJS/Next.js rebuild</t>
  </si>
  <si>
    <t xml:space="preserve">commit 87fd505</t>
  </si>
  <si>
    <t xml:space="preserve">Regenerated by PR #1 (adds the missing M6)</t>
  </si>
  <si>
    <t xml:space="preserve">https://github.com/sanjaymorankar-debug/bkesari-platform/commit/87fd505</t>
  </si>
  <si>
    <t xml:space="preserve">PL-09</t>
  </si>
  <si>
    <t xml:space="preserve">Three-tier dev / test / production pipeline</t>
  </si>
  <si>
    <t xml:space="preserve">DEPLOY.md: dev -&gt; staging -&gt; main branches, one database per tier, hPanel steps</t>
  </si>
  <si>
    <t xml:space="preserve">commit f37140e</t>
  </si>
  <si>
    <t xml:space="preserve">dev/test/prod sites must be created in hPanel</t>
  </si>
  <si>
    <t xml:space="preserve">https://github.com/sanjaymorankar-debug/bkesari-platform/commit/f37140e</t>
  </si>
  <si>
    <t xml:space="preserve">PL-41</t>
  </si>
  <si>
    <t xml:space="preserve">Dev tier and ATIP at /ATIP/</t>
  </si>
  <si>
    <t xml:space="preserve">dev.bkesari.com tier; ATIP viewer moved to /ATIP/</t>
  </si>
  <si>
    <t xml:space="preserve">PASS - portal 44 + 32 guard, edu 387/387 (CI green)</t>
  </si>
  <si>
    <t xml:space="preserve">https://github.com/sanjaymorankar-debug/bkesari-platform/pull/1</t>
  </si>
  <si>
    <t xml:space="preserve">PL-42</t>
  </si>
  <si>
    <t xml:space="preserve">Drop the stale vendored ATIP copy</t>
  </si>
  <si>
    <t xml:space="preserve">Deletes atip/ (ATIP-DEV is the source of truth)</t>
  </si>
  <si>
    <t xml:space="preserve">Education (edu/)</t>
  </si>
  <si>
    <t xml:space="preserve">PL-43</t>
  </si>
  <si>
    <t xml:space="preserve">edu macOS launcher</t>
  </si>
  <si>
    <t xml:space="preserve">Mac launcher for Education pointed at the bkesari tiers</t>
  </si>
  <si>
    <t xml:space="preserve">PL-44</t>
  </si>
  <si>
    <t xml:space="preserve">Ladwani SQL regenerated (adds M6)</t>
  </si>
  <si>
    <t xml:space="preserve">Regenerated from rebuild@516d3b9; previous SQL missed all of M6; says which branch to clone</t>
  </si>
  <si>
    <t xml:space="preserve">PL-45</t>
  </si>
  <si>
    <t xml:space="preserve">Shared menu bar and rebuilt welcome page</t>
  </si>
  <si>
    <t xml:space="preserve">One menu across all apps</t>
  </si>
  <si>
    <t xml:space="preserve">https://github.com/sanjaymorankar-debug/bkesari-platform/pull/2</t>
  </si>
  <si>
    <t xml:space="preserve">PL-46</t>
  </si>
  <si>
    <t xml:space="preserve">Global Warming and Driving Simulator pages</t>
  </si>
  <si>
    <t xml:space="preserve">Two new static pages</t>
  </si>
  <si>
    <t xml:space="preserve">PL-47</t>
  </si>
  <si>
    <t xml:space="preserve">Dev-only deploy workflows and CI</t>
  </si>
  <si>
    <t xml:space="preserve">GitHub Actions deploy to dev and the CI this repo never had</t>
  </si>
  <si>
    <t xml:space="preserve">PL-48</t>
  </si>
  <si>
    <t xml:space="preserve">Dev test and smoke checklist</t>
  </si>
  <si>
    <t xml:space="preserve">Checklist with the mechanical half automated</t>
  </si>
  <si>
    <t xml:space="preserve">PL-49</t>
  </si>
  <si>
    <t xml:space="preserve">App tabs through the hub (/milk/, LadWani, /edu/)</t>
  </si>
  <si>
    <t xml:space="preserve">Each project served under its own tab path; Education at /edu/ via prefix stripping</t>
  </si>
  <si>
    <t xml:space="preserve">PL-50</t>
  </si>
  <si>
    <t xml:space="preserve">Portal database tests on both MySQL and SQLite</t>
  </si>
  <si>
    <t xml:space="preserve">tests/db-dialects.test.js runs the same cases on both clients, a CI job runs them on MySQL 8.0, and the adapters gain close(). Opened by another session on 2026-10-09</t>
  </si>
  <si>
    <t xml:space="preserve">Its author reports 61 passed on MySQL 8.0 (53 + 8 skipped without it); not re-run here</t>
  </si>
  <si>
    <t xml:space="preserve">Review, then merge or close PR #5</t>
  </si>
  <si>
    <t xml:space="preserve">https://github.com/sanjaymorankar-debug/bkesari-platform/pull/5</t>
  </si>
  <si>
    <t xml:space="preserve">PL-51</t>
  </si>
  <si>
    <t xml:space="preserve">Mac setup guide, feature status workbook, local Git checker</t>
  </si>
  <si>
    <t xml:space="preserve">docs/MAC_DEPLOYMENT.md, this workbook, tools/check_local_git.sh</t>
  </si>
  <si>
    <t xml:space="preserve">PR #3</t>
  </si>
  <si>
    <t xml:space="preserve">PASS - checker tested on a clone with unpushed, local-only and dirty state; workbook 0 formula errors</t>
  </si>
  <si>
    <t xml:space="preserve">https://github.com/sanjaymorankar-debug/bkesari-platform/pull/3</t>
  </si>
  <si>
    <t xml:space="preserve">PL-52</t>
  </si>
  <si>
    <t xml:space="preserve">Local MySQL setup script</t>
  </si>
  <si>
    <t xml:space="preserve">tools/setup_local_mysql.sh: one database + user per site on the Mac's MySQL, writes each app's .env, runs migrations, seeds empty databases; safe to re-run</t>
  </si>
  <si>
    <t xml:space="preserve">PR #4 (arrived with this workbook)</t>
  </si>
  <si>
    <t xml:space="preserve">PASS - fresh run and re-run against MySQL 8.0; all three sites then served from it (CI green)</t>
  </si>
  <si>
    <t xml:space="preserve">Run it once on the Mac: tools/setup_local_mysql.sh</t>
  </si>
  <si>
    <t xml:space="preserve">https://github.com/sanjaymorankar-debug/bkesari-platform/pull/4</t>
  </si>
  <si>
    <t xml:space="preserve">PL-10</t>
  </si>
  <si>
    <t xml:space="preserve">Phase 1 core: search, profiles, faceless complaints</t>
  </si>
  <si>
    <t xml:space="preserve">Auth + RBAC for 12 roles, public school search and profiles, teacher ratings, faceless (anonymised) complaints, resolution confirmation, audit + identity-access logs</t>
  </si>
  <si>
    <t xml:space="preserve">commit e33e4cc</t>
  </si>
  <si>
    <t xml:space="preserve">PASS - edu suite 387/387</t>
  </si>
  <si>
    <t xml:space="preserve">https://github.com/sanjaymorankar-debug/bkesari-platform/commit/e33e4cc</t>
  </si>
  <si>
    <t xml:space="preserve">PL-11</t>
  </si>
  <si>
    <t xml:space="preserve">School registration and onboarding</t>
  </si>
  <si>
    <t xml:space="preserve">Public school registration (pending until officer verifies), parent/student/teacher onboarding with school-admin approval</t>
  </si>
  <si>
    <t xml:space="preserve">commit 1606f39</t>
  </si>
  <si>
    <t xml:space="preserve">https://github.com/sanjaymorankar-debug/bkesari-platform/commit/1606f39</t>
  </si>
  <si>
    <t xml:space="preserve">PL-12</t>
  </si>
  <si>
    <t xml:space="preserve">Phase 2: dashboards, admin panel, retaliation, TEI, AI-assist</t>
  </si>
  <si>
    <t xml:space="preserve">Role dashboards, admin panel, retaliation reporting, Teacher Effectiveness Index, School Quality Index, rule-based AI assist</t>
  </si>
  <si>
    <t xml:space="preserve">commit fe1a321</t>
  </si>
  <si>
    <t xml:space="preserve">https://github.com/sanjaymorankar-debug/bkesari-platform/commit/fe1a321</t>
  </si>
  <si>
    <t xml:space="preserve">PL-13</t>
  </si>
  <si>
    <t xml:space="preserve">Two-way parent/student registration</t>
  </si>
  <si>
    <t xml:space="preserve">Parent-with-child registration and school invites</t>
  </si>
  <si>
    <t xml:space="preserve">commit 5598b92</t>
  </si>
  <si>
    <t xml:space="preserve">https://github.com/sanjaymorankar-debug/bkesari-platform/commit/5598b92</t>
  </si>
  <si>
    <t xml:space="preserve">PL-40</t>
  </si>
  <si>
    <t xml:space="preserve">Age-appropriate design pass for the student dashboard</t>
  </si>
  <si>
    <t xml:space="preserve">The dashboard works but reuses the parent dashboard's design; the dedicated pass is not started (ROADMAP: partially built)</t>
  </si>
  <si>
    <t xml:space="preserve">edu/ROADMAP.md</t>
  </si>
  <si>
    <t xml:space="preserve">Not built</t>
  </si>
  <si>
    <t xml:space="preserve">NOT STARTED</t>
  </si>
  <si>
    <t xml:space="preserve">https://github.com/sanjaymorankar-debug/bkesari-platform/blob/main/edu/ROADMAP.md</t>
  </si>
  <si>
    <t xml:space="preserve">PL-14</t>
  </si>
  <si>
    <t xml:space="preserve">2FA, appeals, notifications, analytics, fraud flags</t>
  </si>
  <si>
    <t xml:space="preserve">TOTP 2FA + recovery codes, appeals workflow, notifications bell, analytics snapshots, TEI value-add, fraud flagging, admin roles, mail delivery</t>
  </si>
  <si>
    <t xml:space="preserve">commit 7e2c9da</t>
  </si>
  <si>
    <t xml:space="preserve">https://github.com/sanjaymorankar-debug/bkesari-platform/commit/7e2c9da</t>
  </si>
  <si>
    <t xml:space="preserve">PL-39</t>
  </si>
  <si>
    <t xml:space="preserve">TEI classroom-observation and professional-development inputs</t>
  </si>
  <si>
    <t xml:space="preserve">No data source for either (ROADMAP: deferred entirely)</t>
  </si>
  <si>
    <t xml:space="preserve">PL-15</t>
  </si>
  <si>
    <t xml:space="preserve">Student growth, career and life readiness</t>
  </si>
  <si>
    <t xml:space="preserve">NEP 2020 / PARAKH-aligned growth records, growth plans, career interest, life skills, on a DPDP Act s.9 consent layer</t>
  </si>
  <si>
    <t xml:space="preserve">commit 37eb766</t>
  </si>
  <si>
    <t xml:space="preserve">https://github.com/sanjaymorankar-debug/bkesari-platform/commit/37eb766</t>
  </si>
  <si>
    <t xml:space="preserve">PL-29</t>
  </si>
  <si>
    <t xml:space="preserve">Peer observation UI</t>
  </si>
  <si>
    <t xml:space="preserve">Model and policy exist; no screen yet (deliberate)</t>
  </si>
  <si>
    <t xml:space="preserve">PL-30</t>
  </si>
  <si>
    <t xml:space="preserve">Alumni outcomes (spec s.17)</t>
  </si>
  <si>
    <t xml:space="preserve">Needs its own opt-in consent flow</t>
  </si>
  <si>
    <t xml:space="preserve">PL-31</t>
  </si>
  <si>
    <t xml:space="preserve">Aggregate government growth/career views (s.32)</t>
  </si>
  <si>
    <t xml:space="preserve">Must be anonymised aggregates</t>
  </si>
  <si>
    <t xml:space="preserve">PL-32</t>
  </si>
  <si>
    <t xml:space="preserve">Bias review checkpoint before wide rollout (s.45)</t>
  </si>
  <si>
    <t xml:space="preserve">Human review + single-school pilot</t>
  </si>
  <si>
    <t xml:space="preserve">PL-16</t>
  </si>
  <si>
    <t xml:space="preserve">UDISE and fee transparency</t>
  </si>
  <si>
    <t xml:space="preserve">UDISE code, per-year fee register, mid-year revisions with reason, first-year vs continuing cost</t>
  </si>
  <si>
    <t xml:space="preserve">commit 54cc817</t>
  </si>
  <si>
    <t xml:space="preserve">https://github.com/sanjaymorankar-debug/bkesari-platform/commit/54cc817</t>
  </si>
  <si>
    <t xml:space="preserve">PL-17</t>
  </si>
  <si>
    <t xml:space="preserve">Facilities: claimed vs experienced</t>
  </si>
  <si>
    <t xml:space="preserve">Facility claims, anonymous ratings, reported difference with a 3-report floor</t>
  </si>
  <si>
    <t xml:space="preserve">commit 50ee343</t>
  </si>
  <si>
    <t xml:space="preserve">https://github.com/sanjaymorankar-debug/bkesari-platform/commit/50ee343</t>
  </si>
  <si>
    <t xml:space="preserve">PL-33</t>
  </si>
  <si>
    <t xml:space="preserve">Evidence file uploads on facility claims</t>
  </si>
  <si>
    <t xml:space="preserve">Column exists; upload not wired</t>
  </si>
  <si>
    <t xml:space="preserve">PL-18</t>
  </si>
  <si>
    <t xml:space="preserve">Safeguarding and mandatory reporting</t>
  </si>
  <si>
    <t xml:space="preserve">Separate POCSO-aware workflow, hidden from school admins, cannot close without external report</t>
  </si>
  <si>
    <t xml:space="preserve">commit 22c5f7c</t>
  </si>
  <si>
    <t xml:space="preserve">https://github.com/sanjaymorankar-debug/bkesari-platform/commit/22c5f7c</t>
  </si>
  <si>
    <t xml:space="preserve">PL-19</t>
  </si>
  <si>
    <t xml:space="preserve">External exams and coaching</t>
  </si>
  <si>
    <t xml:space="preserve">Closes spec Phase 1; compulsory programmes billed outside the fee register shown as extra cost</t>
  </si>
  <si>
    <t xml:space="preserve">commit f0b8b28</t>
  </si>
  <si>
    <t xml:space="preserve">https://github.com/sanjaymorankar-debug/bkesari-platform/commit/f0b8b28</t>
  </si>
  <si>
    <t xml:space="preserve">PL-20</t>
  </si>
  <si>
    <t xml:space="preserve">Health and wellbeing</t>
  </si>
  <si>
    <t xml:space="preserve">Consent-gated screenings with follow-up lifecycle, teacher observations, counsellor tier</t>
  </si>
  <si>
    <t xml:space="preserve">commit 37f8d0f</t>
  </si>
  <si>
    <t xml:space="preserve">https://github.com/sanjaymorankar-debug/bkesari-platform/commit/37f8d0f</t>
  </si>
  <si>
    <t xml:space="preserve">PL-28</t>
  </si>
  <si>
    <t xml:space="preserve">DPDP data-subject requests and retention</t>
  </si>
  <si>
    <t xml:space="preserve">Data-subject requests, declared retention periods, DPO and career-mentor seed accounts</t>
  </si>
  <si>
    <t xml:space="preserve">commits 04195e0, 7e86c8d</t>
  </si>
  <si>
    <t xml:space="preserve">https://github.com/sanjaymorankar-debug/bkesari-platform/commit/04195e0</t>
  </si>
  <si>
    <t xml:space="preserve">PL-34</t>
  </si>
  <si>
    <t xml:space="preserve">Document uploads on health records</t>
  </si>
  <si>
    <t xml:space="preserve">Needs malware scan + private storage</t>
  </si>
  <si>
    <t xml:space="preserve">PL-35</t>
  </si>
  <si>
    <t xml:space="preserve">Retention enforcement job</t>
  </si>
  <si>
    <t xml:space="preserve">Periods declared; no automatic sweep yet; needs legal review</t>
  </si>
  <si>
    <t xml:space="preserve">PL-21</t>
  </si>
  <si>
    <t xml:space="preserve">International benchmarking (How India Compares)</t>
  </si>
  <si>
    <t xml:space="preserve">Structural comparison layer, no score table</t>
  </si>
  <si>
    <t xml:space="preserve">commit a1793dd</t>
  </si>
  <si>
    <t xml:space="preserve">https://github.com/sanjaymorankar-debug/bkesari-platform/commit/a1793dd</t>
  </si>
  <si>
    <t xml:space="preserve">PL-22</t>
  </si>
  <si>
    <t xml:space="preserve">Anonymised health aggregates for government</t>
  </si>
  <si>
    <t xml:space="preserve">Small-cell suppression; District/State/National dashboards</t>
  </si>
  <si>
    <t xml:space="preserve">commits 79b24ff, 89e0466</t>
  </si>
  <si>
    <t xml:space="preserve">https://github.com/sanjaymorankar-debug/bkesari-platform/commit/79b24ff</t>
  </si>
  <si>
    <t xml:space="preserve">PL-36</t>
  </si>
  <si>
    <t xml:space="preserve">NAS data integration and real AI model for AI-assist</t>
  </si>
  <si>
    <t xml:space="preserve">No dataset wired; AI-assist is rule-based</t>
  </si>
  <si>
    <t xml:space="preserve">PL-24</t>
  </si>
  <si>
    <t xml:space="preserve">WCAG 2.1 AA fixes</t>
  </si>
  <si>
    <t xml:space="preserve">Skip link, page titles, live announcements, rating-scale labels, focus states</t>
  </si>
  <si>
    <t xml:space="preserve">commit 7024cd6</t>
  </si>
  <si>
    <t xml:space="preserve">https://github.com/sanjaymorankar-debug/bkesari-platform/commit/7024cd6</t>
  </si>
  <si>
    <t xml:space="preserve">PL-38</t>
  </si>
  <si>
    <t xml:space="preserve">Full accessibility audit with assistive technology</t>
  </si>
  <si>
    <t xml:space="preserve">Only regression guards so far</t>
  </si>
  <si>
    <t xml:space="preserve">PL-23</t>
  </si>
  <si>
    <t xml:space="preserve">Course and curriculum ratings</t>
  </si>
  <si>
    <t xml:space="preserve">10 curriculum dimensions with response counts</t>
  </si>
  <si>
    <t xml:space="preserve">commit 41789d7</t>
  </si>
  <si>
    <t xml:space="preserve">https://github.com/sanjaymorankar-debug/bkesari-platform/commit/41789d7</t>
  </si>
  <si>
    <t xml:space="preserve">PL-25</t>
  </si>
  <si>
    <t xml:space="preserve">School right of reply</t>
  </si>
  <si>
    <t xml:space="preserve">Schools can respond to reported discrepancies</t>
  </si>
  <si>
    <t xml:space="preserve">commit 084066e</t>
  </si>
  <si>
    <t xml:space="preserve">https://github.com/sanjaymorankar-debug/bkesari-platform/commit/084066e</t>
  </si>
  <si>
    <t xml:space="preserve">PL-26</t>
  </si>
  <si>
    <t xml:space="preserve">School Improvement Dashboard</t>
  </si>
  <si>
    <t xml:space="preserve">Spec section 31</t>
  </si>
  <si>
    <t xml:space="preserve">commit fe1cba1</t>
  </si>
  <si>
    <t xml:space="preserve">https://github.com/sanjaymorankar-debug/bkesari-platform/commit/fe1cba1</t>
  </si>
  <si>
    <t xml:space="preserve">PL-27</t>
  </si>
  <si>
    <t xml:space="preserve">Officer verification queue</t>
  </si>
  <si>
    <t xml:space="preserve">Queue for officers to verify schools and records</t>
  </si>
  <si>
    <t xml:space="preserve">commit 13cc956</t>
  </si>
  <si>
    <t xml:space="preserve">https://github.com/sanjaymorankar-debug/bkesari-platform/commit/13cc956</t>
  </si>
  <si>
    <t xml:space="preserve">PL-37</t>
  </si>
  <si>
    <t xml:space="preserve">Multilingual (12 languages)</t>
  </si>
  <si>
    <t xml:space="preserve">On hold pending professional translators</t>
  </si>
  <si>
    <t xml:space="preserve">Wave</t>
  </si>
  <si>
    <t xml:space="preserve">Scope</t>
  </si>
  <si>
    <t xml:space="preserve">Merged to master?</t>
  </si>
  <si>
    <t xml:space="preserve">Merged on (commit date)</t>
  </si>
  <si>
    <t xml:space="preserve">Development status</t>
  </si>
  <si>
    <t xml:space="preserve">Deployment (as recorded in repo docs)</t>
  </si>
  <si>
    <t xml:space="preserve">W1</t>
  </si>
  <si>
    <t xml:space="preserve">Foundation: job monitoring, alerts, P&amp;L, loss limits, sizing, data quality</t>
  </si>
  <si>
    <t xml:space="preserve">w1-foundation</t>
  </si>
  <si>
    <t xml:space="preserve">2026-09-24</t>
  </si>
  <si>
    <t xml:space="preserve">Deployed 2026-09-28 with release ATIP-W24-RC1 (per WAVE_STATUS.md)</t>
  </si>
  <si>
    <t xml:space="preserve">W2</t>
  </si>
  <si>
    <t xml:space="preserve">Research / backtesting framework</t>
  </si>
  <si>
    <t xml:space="preserve">w2-backtesting</t>
  </si>
  <si>
    <t xml:space="preserve">W3</t>
  </si>
  <si>
    <t xml:space="preserve">Strategy engine</t>
  </si>
  <si>
    <t xml:space="preserve">w3-strategy-engine</t>
  </si>
  <si>
    <t xml:space="preserve">2026-09-25</t>
  </si>
  <si>
    <t xml:space="preserve">IMPLEMENTED BUT NOT VERIFIED (independent QA pending)</t>
  </si>
  <si>
    <t xml:space="preserve">W4</t>
  </si>
  <si>
    <t xml:space="preserve">Risk and execution (paper)</t>
  </si>
  <si>
    <t xml:space="preserve">w4-risk-execution</t>
  </si>
  <si>
    <t xml:space="preserve">W5</t>
  </si>
  <si>
    <t xml:space="preserve">AI / ML</t>
  </si>
  <si>
    <t xml:space="preserve">w5-ai-ml</t>
  </si>
  <si>
    <t xml:space="preserve">W6</t>
  </si>
  <si>
    <t xml:space="preserve">Advanced quant</t>
  </si>
  <si>
    <t xml:space="preserve">w6-advanced-quant</t>
  </si>
  <si>
    <t xml:space="preserve">W7</t>
  </si>
  <si>
    <t xml:space="preserve">Enterprise: users, tenants, RBAC, billing foundation</t>
  </si>
  <si>
    <t xml:space="preserve">w7-enterprise</t>
  </si>
  <si>
    <t xml:space="preserve">PARTIALLY COMPLETED (ENT-07 internet exposure blocked)</t>
  </si>
  <si>
    <t xml:space="preserve">W8</t>
  </si>
  <si>
    <t xml:space="preserve">Production hardening: health, metrics, backups, migrations, MFA, audit chain</t>
  </si>
  <si>
    <t xml:space="preserve">w8-production-hardening</t>
  </si>
  <si>
    <t xml:space="preserve">2026-09-26</t>
  </si>
  <si>
    <t xml:space="preserve">Deployed 2026-09-26 (production restarted onto W8; per WAVE_STATUS.md)</t>
  </si>
  <si>
    <t xml:space="preserve">W9</t>
  </si>
  <si>
    <t xml:space="preserve">Final release and deployment readiness (deploy / rollback scripts)</t>
  </si>
  <si>
    <t xml:space="preserve">w9-release</t>
  </si>
  <si>
    <t xml:space="preserve">W11</t>
  </si>
  <si>
    <t xml:space="preserve">Investor DNA (ATIP-INV-001)</t>
  </si>
  <si>
    <t xml:space="preserve">w11-investor-dna</t>
  </si>
  <si>
    <t xml:space="preserve">W12</t>
  </si>
  <si>
    <t xml:space="preserve">Multi-asset wealth dashboard (ATIP-WLT-001)</t>
  </si>
  <si>
    <t xml:space="preserve">w12-wealth-dashboard</t>
  </si>
  <si>
    <t xml:space="preserve">W13</t>
  </si>
  <si>
    <t xml:space="preserve">Goal planning engine (ATIP-GOL-001)</t>
  </si>
  <si>
    <t xml:space="preserve">w13-goal-planning</t>
  </si>
  <si>
    <t xml:space="preserve">W14</t>
  </si>
  <si>
    <t xml:space="preserve">Dynamic asset allocation (ATIP-AAL-001)</t>
  </si>
  <si>
    <t xml:space="preserve">w14-asset-allocation</t>
  </si>
  <si>
    <t xml:space="preserve">W15</t>
  </si>
  <si>
    <t xml:space="preserve">Portfolio rebalancing (ATIP-RBL-001)</t>
  </si>
  <si>
    <t xml:space="preserve">w15-rebalancing</t>
  </si>
  <si>
    <t xml:space="preserve">W15.5</t>
  </si>
  <si>
    <t xml:space="preserve">Investor performance attribution (ATIP-PERF-001)</t>
  </si>
  <si>
    <t xml:space="preserve">w15-5-performance-attribution</t>
  </si>
  <si>
    <t xml:space="preserve">W16</t>
  </si>
  <si>
    <t xml:space="preserve">Explainable AI investment advisor (ATIP-AIA-001)</t>
  </si>
  <si>
    <t xml:space="preserve">w16-ai-advisor</t>
  </si>
  <si>
    <t xml:space="preserve">W17</t>
  </si>
  <si>
    <t xml:space="preserve">Integrated intelligence (ATIP-INT-001)</t>
  </si>
  <si>
    <t xml:space="preserve">w17-integrated-intelligence</t>
  </si>
  <si>
    <t xml:space="preserve">W18</t>
  </si>
  <si>
    <t xml:space="preserve">QA / security / performance gate for wealth (ATIP-QA-001)</t>
  </si>
  <si>
    <t xml:space="preserve">w18-qa-security-performance</t>
  </si>
  <si>
    <t xml:space="preserve">SUITE WRITTEN; independent run pending</t>
  </si>
  <si>
    <t xml:space="preserve">W19</t>
  </si>
  <si>
    <t xml:space="preserve">Beta / UAT tooling (ATIP-UAT-001)</t>
  </si>
  <si>
    <t xml:space="preserve">w19-uat</t>
  </si>
  <si>
    <t xml:space="preserve">TOOLING READY; owner UAT not executed</t>
  </si>
  <si>
    <t xml:space="preserve">W20</t>
  </si>
  <si>
    <t xml:space="preserve">Wealth-track production hardening, release candidate (ATIP-REL-001)</t>
  </si>
  <si>
    <t xml:space="preserve">w20-release</t>
  </si>
  <si>
    <t xml:space="preserve">W21</t>
  </si>
  <si>
    <t xml:space="preserve">Data and technical analysis: VWAP, S/R, betas, multi-timeframe, sector breadth</t>
  </si>
  <si>
    <t xml:space="preserve">w21-data-technical</t>
  </si>
  <si>
    <t xml:space="preserve">2026-09-27</t>
  </si>
  <si>
    <t xml:space="preserve">W22</t>
  </si>
  <si>
    <t xml:space="preserve">Factor research platform</t>
  </si>
  <si>
    <t xml:space="preserve">w22-factor-research</t>
  </si>
  <si>
    <t xml:space="preserve">W23</t>
  </si>
  <si>
    <t xml:space="preserve">Research and backtesting depth: optimisation, sensitivity, robustness</t>
  </si>
  <si>
    <t xml:space="preserve">w23-research-backtest</t>
  </si>
  <si>
    <t xml:space="preserve">2026-09-28</t>
  </si>
  <si>
    <t xml:space="preserve">W24</t>
  </si>
  <si>
    <t xml:space="preserve">Machine learning: GBM / RF / ensemble, walk-forward, clusters, anomalies</t>
  </si>
  <si>
    <t xml:space="preserve">w24-ml</t>
  </si>
  <si>
    <t xml:space="preserve">W25</t>
  </si>
  <si>
    <t xml:space="preserve">Portfolio risk: exposure, VaR / ES, optimiser, pre-trade limits, emergency exit</t>
  </si>
  <si>
    <t xml:space="preserve">w25-portfolio-risk</t>
  </si>
  <si>
    <t xml:space="preserve">Not deployed per handoff docs; deploy with deploy/deploy_release.sh</t>
  </si>
  <si>
    <t xml:space="preserve">W26</t>
  </si>
  <si>
    <t xml:space="preserve">Dashboard signals filter / search / sort, stock history panel</t>
  </si>
  <si>
    <t xml:space="preserve">w26-dashboard-signals-history</t>
  </si>
  <si>
    <t xml:space="preserve">2026-10-02</t>
  </si>
  <si>
    <t xml:space="preserve">W27</t>
  </si>
  <si>
    <t xml:space="preserve">Data and scores: NSE fundamentals, ownership, F&amp;O summary, live feed failover, /market page</t>
  </si>
  <si>
    <t xml:space="preserve">w27-data-scores</t>
  </si>
  <si>
    <t xml:space="preserve">W28</t>
  </si>
  <si>
    <t xml:space="preserve">Strategy and AI: intraday scans, crash-risk lists, news AI on Claude, model monitoring</t>
  </si>
  <si>
    <t xml:space="preserve">w28-strategy-ai</t>
  </si>
  <si>
    <t xml:space="preserve">W28b</t>
  </si>
  <si>
    <t xml:space="preserve">News weighting and announcement NLP</t>
  </si>
  <si>
    <t xml:space="preserve">w28b-news-weighting</t>
  </si>
  <si>
    <t xml:space="preserve">W29</t>
  </si>
  <si>
    <t xml:space="preserve">Execution: stop orders, modify, EOD reconciliation, broker health, slippage analytics</t>
  </si>
  <si>
    <t xml:space="preserve">w29-execution</t>
  </si>
  <si>
    <t xml:space="preserve">W30</t>
  </si>
  <si>
    <t xml:space="preserve">Advanced quant: value / size factors, implied vol, futures short leg, event studies</t>
  </si>
  <si>
    <t xml:space="preserve">w30-advanced-quant</t>
  </si>
  <si>
    <t xml:space="preserve">W31</t>
  </si>
  <si>
    <t xml:space="preserve">Production hardening: encrypted off-site backups, credential vault, API reference</t>
  </si>
  <si>
    <t xml:space="preserve">w31-production-hardening</t>
  </si>
  <si>
    <t xml:space="preserve">W32</t>
  </si>
  <si>
    <t xml:space="preserve">Enterprise SaaS layer, MFA recovery codes, capital accounting, webhooks</t>
  </si>
  <si>
    <t xml:space="preserve">w32-enterprise-saas</t>
  </si>
  <si>
    <t xml:space="preserve">W33</t>
  </si>
  <si>
    <t xml:space="preserve">QA / UAT preparation for the RC line</t>
  </si>
  <si>
    <t xml:space="preserve">w33-wealth-qa</t>
  </si>
  <si>
    <t xml:space="preserve">PREPARED; independent QA + UAT not started</t>
  </si>
  <si>
    <t xml:space="preserve">W34</t>
  </si>
  <si>
    <t xml:space="preserve">Execution microstructure: TWAP/VWAP/POV/Iceberg, impact model, event-driven OMS</t>
  </si>
  <si>
    <t xml:space="preserve">w34-execution-microstructure</t>
  </si>
  <si>
    <t xml:space="preserve">W35</t>
  </si>
  <si>
    <t xml:space="preserve">Data platform: point-in-time lake, ticks, depth, option chains, macro, MF NAVs</t>
  </si>
  <si>
    <t xml:space="preserve">w35-data-platform</t>
  </si>
  <si>
    <t xml:space="preserve">W36</t>
  </si>
  <si>
    <t xml:space="preserve">ML and strategy tooling: neural net, RL agent, AI chat, no-code strategy builder</t>
  </si>
  <si>
    <t xml:space="preserve">w36-ml-strategy-tooling</t>
  </si>
  <si>
    <t xml:space="preserve">W37</t>
  </si>
  <si>
    <t xml:space="preserve">Brokers and multi-asset: vault, read-only multi-broker, CSV import, options book</t>
  </si>
  <si>
    <t xml:space="preserve">w37-brokers-multi-asset</t>
  </si>
  <si>
    <t xml:space="preserve">W38</t>
  </si>
  <si>
    <t xml:space="preserve">Platform and compliance: PostgreSQL path, containers, compliance, PWA, secrets vault</t>
  </si>
  <si>
    <t xml:space="preserve">w38-platform-compliance</t>
  </si>
  <si>
    <t xml:space="preserve">W39</t>
  </si>
  <si>
    <t xml:space="preserve">History (7-yr), research reports, screener, signals, market pulse, options builder, Dhan token on macOS</t>
  </si>
  <si>
    <t xml:space="preserve">ccr-643d84fc-yig8ts</t>
  </si>
  <si>
    <t xml:space="preserve">2026-10-08</t>
  </si>
  <si>
    <t xml:space="preserve">W39b</t>
  </si>
  <si>
    <t xml:space="preserve">Tracker reconciliation: PERF-001 detail, owner notes, feature-map gaps, Razorpay billing, macOS deploy scripts</t>
  </si>
  <si>
    <t xml:space="preserve">claude/wizardly-curie-fbjeoa</t>
  </si>
  <si>
    <t xml:space="preserve">macOS / DB</t>
  </si>
  <si>
    <t xml:space="preserve">Move ATIP to macOS, make MySQL and PostgreSQL work, data migration (PR #1, #3, #6)</t>
  </si>
  <si>
    <t xml:space="preserve">COMPLETED (merged)</t>
  </si>
  <si>
    <t xml:space="preserve">Part of current master; used by the Mac setup</t>
  </si>
  <si>
    <t xml:space="preserve">DB scripts</t>
  </si>
  <si>
    <t xml:space="preserve">Schema scripts for a fresh database: SQLite, PostgreSQL, MySQL (PR #2)</t>
  </si>
  <si>
    <t xml:space="preserve">claude/jolly-fermat-pawy3o</t>
  </si>
  <si>
    <t xml:space="preserve">2026-10-03</t>
  </si>
  <si>
    <t xml:space="preserve">Mac docs</t>
  </si>
  <si>
    <t xml:space="preserve">Mac setup notes in README (PR #7)</t>
  </si>
  <si>
    <t xml:space="preserve">claude/adoring-mccarthy-uesz2i</t>
  </si>
  <si>
    <t xml:space="preserve">Documentation only</t>
  </si>
  <si>
    <t xml:space="preserve">MySQL runtime</t>
  </si>
  <si>
    <t xml:space="preserve">MySQL runtime translation, reserved-word quoting, session time zone (PR #8)</t>
  </si>
  <si>
    <t xml:space="preserve">IMPLEMENTED BUT NOT VERIFIED (experimental; SQLite stays the default)</t>
  </si>
  <si>
    <t xml:space="preserve">In master; not switched on (database.backend stays sqlite)</t>
  </si>
  <si>
    <t xml:space="preserve">Source: docs/WAVE_STATUS.md and the W*_HANDOFF.md files in ATIP-DEV. 'Merged to master' and 'Merged on' are measured from git, which supersedes WAVE_STATUS.md's 'no (branch)' entries for W25-W38: those branches were merged after that table was written.</t>
  </si>
  <si>
    <t xml:space="preserve">PR #</t>
  </si>
  <si>
    <t xml:space="preserve">Title</t>
  </si>
  <si>
    <t xml:space="preserve">Head branch</t>
  </si>
  <si>
    <t xml:space="preserve">Base</t>
  </si>
  <si>
    <t xml:space="preserve">Opened (UTC)</t>
  </si>
  <si>
    <t xml:space="preserve">Merged (UTC)</t>
  </si>
  <si>
    <t xml:space="preserve">In local default branch?</t>
  </si>
  <si>
    <t xml:space="preserve">MySQL runtime: translate what cannot translate, quote what MySQL reserves</t>
  </si>
  <si>
    <t xml:space="preserve">Add the Mac setup notes the README was missing</t>
  </si>
  <si>
    <t xml:space="preserve">2026-10-07</t>
  </si>
  <si>
    <t xml:space="preserve">Make --init report the database it actually built, not always a SQLite path</t>
  </si>
  <si>
    <t xml:space="preserve">W39b: reconcile the owner's Wave 1-20 tracker and build the remaining features</t>
  </si>
  <si>
    <t xml:space="preserve">https://github.com/sanjaymorankar-debug/ATIP-DEV/pull/5</t>
  </si>
  <si>
    <t xml:space="preserve">Dhan token auto-refresh on macOS; W39: history, research, stock screener, signals (market gate, track record, weekly rating, chart patterns), market pulse, options builder</t>
  </si>
  <si>
    <t xml:space="preserve">https://github.com/sanjaymorankar-debug/ATIP-DEV/pull/4</t>
  </si>
  <si>
    <t xml:space="preserve">Correct db/sql claims that merging #1 made false</t>
  </si>
  <si>
    <t xml:space="preserve">https://github.com/sanjaymorankar-debug/ATIP-DEV/pull/3</t>
  </si>
  <si>
    <t xml:space="preserve">Add schema scripts for a fresh ATIP database (SQLite, PostgreSQL, MySQL)</t>
  </si>
  <si>
    <t xml:space="preserve">Move ATIP to macOS, make MySQL and PostgreSQL actually work, add a data migration, and serve it at /ATIP/</t>
  </si>
  <si>
    <t xml:space="preserve">Fix the admin dashboard's 500, and make the documented local setup work</t>
  </si>
  <si>
    <t xml:space="preserve">Give the test database a migrate command of its own</t>
  </si>
  <si>
    <t xml:space="preserve">Fill blank test secrets too, so tests pass after cp .env.example .env</t>
  </si>
  <si>
    <t xml:space="preserve">Move the permanent-admin list out of source into PERMANENT_ADMIN_EMAILS (SEC-03)</t>
  </si>
  <si>
    <t xml:space="preserve">Record that this repo and GoKesari have diverged</t>
  </si>
  <si>
    <t xml:space="preserve">Port Milk &amp; Dairy to MySQL, add a dev-only deploy workflow, and serve it under /milk</t>
  </si>
  <si>
    <t xml:space="preserve">Restore Bkesari branding and addresses; fix date-rotted tests and admin-email typo</t>
  </si>
  <si>
    <t xml:space="preserve">Staging</t>
  </si>
  <si>
    <t xml:space="preserve">staging</t>
  </si>
  <si>
    <t xml:space="preserve">2026-08-20</t>
  </si>
  <si>
    <t xml:space="preserve">Add role assignment and generalize to 44 shop types</t>
  </si>
  <si>
    <t xml:space="preserve">Fix Hostinger build: move tailwindcss deps out of devDependencies</t>
  </si>
  <si>
    <t xml:space="preserve">fix-tailwind-build-deps</t>
  </si>
  <si>
    <t xml:space="preserve">2026-08-19</t>
  </si>
  <si>
    <t xml:space="preserve">Add dairy-bakery Next.js application</t>
  </si>
  <si>
    <t xml:space="preserve">add-dairy-bakery-app</t>
  </si>
  <si>
    <t xml:space="preserve">Add CNAME for custom domain</t>
  </si>
  <si>
    <t xml:space="preserve">add-custom-domain</t>
  </si>
  <si>
    <t xml:space="preserve">https://github.com/sanjaymorankar-debug/bkesari/pull/3</t>
  </si>
  <si>
    <t xml:space="preserve">Add placeholder landing page</t>
  </si>
  <si>
    <t xml:space="preserve">add-placeholder-page</t>
  </si>
  <si>
    <t xml:space="preserve">Clean up README formatting</t>
  </si>
  <si>
    <t xml:space="preserve">readme-tweak</t>
  </si>
  <si>
    <t xml:space="preserve">https://github.com/sanjaymorankar-debug/bkesari/pull/1</t>
  </si>
  <si>
    <t xml:space="preserve">Run the database tests on MySQL, the client production actually uses</t>
  </si>
  <si>
    <t xml:space="preserve">Local MySQL setup script, and the Mac guide and status workbook brought up to date</t>
  </si>
  <si>
    <t xml:space="preserve">Mac setup guide, cross-repo feature status workbook, and a local Git checker</t>
  </si>
  <si>
    <t xml:space="preserve">Shared menu, static pages, dev deploys, test checklist, and all three app tabs served through the hub</t>
  </si>
  <si>
    <t xml:space="preserve">dev tier, ATIP at /ATIP/, drop the stale ATIP copy, and fix the Ladwani SQL</t>
  </si>
  <si>
    <t xml:space="preserve">Last commit</t>
  </si>
  <si>
    <t xml:space="preserve">Last commit message</t>
  </si>
  <si>
    <t xml:space="preserve">Commits not in default</t>
  </si>
  <si>
    <t xml:space="preserve">Commits behind default</t>
  </si>
  <si>
    <t xml:space="preserve">Unique unmerged changes</t>
  </si>
  <si>
    <t xml:space="preserve">Merge status</t>
  </si>
  <si>
    <t xml:space="preserve">Note</t>
  </si>
  <si>
    <t xml:space="preserve">backup/pre-w24-master</t>
  </si>
  <si>
    <t xml:space="preserve">fix(w9): resolve RepoDir inside deploy/rollback scripts (PowerShell 5.1); release RC2</t>
  </si>
  <si>
    <t xml:space="preserve">backup snapshot taken before a wave merge</t>
  </si>
  <si>
    <t xml:space="preserve">backup/pre-w25-master</t>
  </si>
  <si>
    <t xml:space="preserve">feat(w24): machine learning (ML-01/03/05/06/07/08/09/10/11, MON-05)</t>
  </si>
  <si>
    <t xml:space="preserve">backup/pre-w3-align-master</t>
  </si>
  <si>
    <t xml:space="preserve">docs(atip): correct the DB backup path in the W3 handoff</t>
  </si>
  <si>
    <t xml:space="preserve">backup/pre-w3-master</t>
  </si>
  <si>
    <t xml:space="preserve">W2 research &amp; backtesting framework: portfolio engine, metrics, costs, walk-forward</t>
  </si>
  <si>
    <t xml:space="preserve">backup/pre-w35-master</t>
  </si>
  <si>
    <t xml:space="preserve">chore: add owner documents and the Dhan token refresh tool</t>
  </si>
  <si>
    <t xml:space="preserve">backup/pre-w38-master</t>
  </si>
  <si>
    <t xml:space="preserve">fix(pipeline): re-run missed / failed jobs instead of only reporting them</t>
  </si>
  <si>
    <t xml:space="preserve">backup/pre-w4-master</t>
  </si>
  <si>
    <t xml:space="preserve">fix(atip): align W3 with the revised brief</t>
  </si>
  <si>
    <t xml:space="preserve">backup/pre-w5-master</t>
  </si>
  <si>
    <t xml:space="preserve">docs: update wave 3 and wave 4 handoff</t>
  </si>
  <si>
    <t xml:space="preserve">backup/pre-w5b-master</t>
  </si>
  <si>
    <t xml:space="preserve">docs: add wave 5 ai ml handoff</t>
  </si>
  <si>
    <t xml:space="preserve">backup/pre-w6-master</t>
  </si>
  <si>
    <t xml:space="preserve">docs: update wave 5 handoff for the completion pass</t>
  </si>
  <si>
    <t xml:space="preserve">backup/pre-w7-master</t>
  </si>
  <si>
    <t xml:space="preserve">docs: add wave 6 advanced quant handoff</t>
  </si>
  <si>
    <t xml:space="preserve">backup/pre-w8-master</t>
  </si>
  <si>
    <t xml:space="preserve">docs: add wave 7 enterprise handoff</t>
  </si>
  <si>
    <t xml:space="preserve">backup/pre-w9-master</t>
  </si>
  <si>
    <t xml:space="preserve">docs: W8 production hardening handoff, operations and security docs, tracker</t>
  </si>
  <si>
    <t xml:space="preserve">Phase 4: English to screener query and a read-only ATIP MCP server</t>
  </si>
  <si>
    <t xml:space="preserve">#4 merged</t>
  </si>
  <si>
    <t xml:space="preserve">#7 merged</t>
  </si>
  <si>
    <t xml:space="preserve">Merge master into the MySQL runtime branch, and quote what W39b added</t>
  </si>
  <si>
    <t xml:space="preserve">#8 merged, #6 merged, #3 merged, #1 merged</t>
  </si>
  <si>
    <t xml:space="preserve">Port the CI fix from the macOS/MySQL branch (aa3beb2)</t>
  </si>
  <si>
    <t xml:space="preserve">#2 merged</t>
  </si>
  <si>
    <t xml:space="preserve">docs(w39b): tracker regenerated after round 3 -- 331 rows, coverage from 1,326 tests</t>
  </si>
  <si>
    <t xml:space="preserve">#5 merged</t>
  </si>
  <si>
    <t xml:space="preserve">fix-startup-market-catchup</t>
  </si>
  <si>
    <t xml:space="preserve">2026-10-01</t>
  </si>
  <si>
    <t xml:space="preserve">fix(scheduler): catch up missed market-indicator slots at start-up</t>
  </si>
  <si>
    <t xml:space="preserve">Merged (same changes already in default)</t>
  </si>
  <si>
    <t xml:space="preserve">hotfix-auto-recover</t>
  </si>
  <si>
    <t xml:space="preserve">tools-mysql-export</t>
  </si>
  <si>
    <t xml:space="preserve">feat(tools): export the SQLite database as MySQL/MariaDB .sql files for phpMyAdmin</t>
  </si>
  <si>
    <t xml:space="preserve">W1 foundation: job monitoring, alerts, P&amp;L, loss limits, sizing, data quality</t>
  </si>
  <si>
    <t xml:space="preserve">feat(w11): Investor DNA (ATIP-INV-001)</t>
  </si>
  <si>
    <t xml:space="preserve">feat(w12): multi-asset wealth dashboard (ATIP-WLT-001)</t>
  </si>
  <si>
    <t xml:space="preserve">feat(w13): goal planning engine (ATIP-GOL-001)</t>
  </si>
  <si>
    <t xml:space="preserve">feat(w14): dynamic asset allocation engine (ATIP-AAL-001)</t>
  </si>
  <si>
    <t xml:space="preserve">feat(w15.5): investor performance attribution (ATIP-PERF-001)</t>
  </si>
  <si>
    <t xml:space="preserve">feat(w15): portfolio rebalancing engine (ATIP-RBL-001)</t>
  </si>
  <si>
    <t xml:space="preserve">feat(w16): explainable AI investment advisor (ATIP-AIA-001)</t>
  </si>
  <si>
    <t xml:space="preserve">feat(w17): integrated intelligence (ATIP-INT-001)</t>
  </si>
  <si>
    <t xml:space="preserve">feat(w18): QA / security / performance gate for the wealth track (ATIP-QA-001)</t>
  </si>
  <si>
    <t xml:space="preserve">feat(w19): beta / UAT tooling (ATIP-UAT-001)</t>
  </si>
  <si>
    <t xml:space="preserve">feat(w20): wealth-track production hardening and release candidate (ATIP-REL-001)</t>
  </si>
  <si>
    <t xml:space="preserve">feat(w21): data and technical analysis (DP-03, TA-03/04/06/09/10/11/12, SC-16, DP-11, DP-13)</t>
  </si>
  <si>
    <t xml:space="preserve">feat(w22): factor research platform (AF-01..04/08, SC-18, DBS-07, QR-01/02/03/12)</t>
  </si>
  <si>
    <t xml:space="preserve">feat(w23): research and backtesting depth (BT-04, BT-12, BT-14, QR-07, QR-08, QR-11)</t>
  </si>
  <si>
    <t xml:space="preserve">feat(w25): portfolio risk (PF-03/04/06/07/08/09/10/11, RK-09/10/11/12/16, DB-17)</t>
  </si>
  <si>
    <t xml:space="preserve">fix(dashboard): signals table filter/search/sort + stock history panel (W26)</t>
  </si>
  <si>
    <t xml:space="preserve">feat(w27): data and scores (DP-15, SC-13, SC-02, DP-16, SC-14, SC-06, DP-12, DP-01, AD-03, DB-04)</t>
  </si>
  <si>
    <t xml:space="preserve">w28-signals-news-dashboards</t>
  </si>
  <si>
    <t xml:space="preserve">feat(w28): signals, news intelligence and dashboards (SG-08, DB-11, DB-16, SE-05, NS-02..06, DB-06, DB-18)</t>
  </si>
  <si>
    <t xml:space="preserve">superseded: W28 merged via w28-strategy-ai</t>
  </si>
  <si>
    <t xml:space="preserve">feat(w28): strategy and AI (SG-08, DB-11, DB-16, SE-05, NS-02, NS-03, NS-04, DB-06, DB-18)</t>
  </si>
  <si>
    <t xml:space="preserve">feat(w28b): news weighting and announcement NLP (NS-05, NS-06)</t>
  </si>
  <si>
    <t xml:space="preserve">feat(w29): execution (EX-02, EX-08, BR-05, BR-06, RK-17, BR-08, EX-09, EX-10, BR-02, MON-04, SEC-03)</t>
  </si>
  <si>
    <t xml:space="preserve">feat(w30): advanced quant (AF-05, QR-10, QR-05, QR-06, QR-09, AF-07)</t>
  </si>
  <si>
    <t xml:space="preserve">feat(w31): production hardening (OPS-06, SEC-04, API-05, OPS-05, OPS-10, OPS-11)</t>
  </si>
  <si>
    <t xml:space="preserve">W32: enterprise SaaS -- merge W9 SaaS layer, recovery codes, capital accounting, intraday alerts, webhook consumers</t>
  </si>
  <si>
    <t xml:space="preserve">docs: add owner tracker and planning workbooks</t>
  </si>
  <si>
    <t xml:space="preserve">W33 merged; 1 extra commit adds 4 old owner workbooks</t>
  </si>
  <si>
    <t xml:space="preserve">feat(w34): execution microstructure (EX-11, EX-12, EX-15, EX-16, BT-17)</t>
  </si>
  <si>
    <t xml:space="preserve">fix(wealth): defects found by running the wealth test suite (486/486 pass)</t>
  </si>
  <si>
    <t xml:space="preserve">feat(w36): ML and strategy tooling (ML-02, ML-04, ML-16, SE-10, AF-06, API-06)</t>
  </si>
  <si>
    <t xml:space="preserve">feat(w37): brokers and multi-asset (ENT-06, BR-07, PF-12, ENT-15)</t>
  </si>
  <si>
    <t xml:space="preserve">feat(w38): compliance monitoring, data privacy, mobile PWA, regulatory register</t>
  </si>
  <si>
    <t xml:space="preserve">w38-secrets-vault</t>
  </si>
  <si>
    <t xml:space="preserve">fix(secrets): make the vault migration safe; order controls pass in paper mode</t>
  </si>
  <si>
    <t xml:space="preserve">w9-enterprise-saas</t>
  </si>
  <si>
    <t xml:space="preserve">wip(w9-saas): park incomplete enterprise-SaaS work (superseded by the revised W9 brief)</t>
  </si>
  <si>
    <t xml:space="preserve">Serve Milk &amp; Dairy under /milk, and fix a build that would have failed</t>
  </si>
  <si>
    <t xml:space="preserve">#9 merged</t>
  </si>
  <si>
    <t xml:space="preserve">#14 open, #10 merged</t>
  </si>
  <si>
    <t xml:space="preserve">#12 merged, #11 merged, #8 merged</t>
  </si>
  <si>
    <t xml:space="preserve">2026-09-01</t>
  </si>
  <si>
    <t xml:space="preserve">Rebrand Bkesari to GoKesari, move support/grievance emails to gokesari.com</t>
  </si>
  <si>
    <t xml:space="preserve">#7 merged, #6 merged</t>
  </si>
  <si>
    <t xml:space="preserve">Serve Education at /edu/ by stripping the prefix and rebuilding it in the app</t>
  </si>
  <si>
    <t xml:space="preserve">#5 open, #1 merged</t>
  </si>
  <si>
    <t xml:space="preserve">dev</t>
  </si>
  <si>
    <t xml:space="preserve">Document the three-tier dev/test/production deployment pipeline</t>
  </si>
  <si>
    <t xml:space="preserve">Repo / app</t>
  </si>
  <si>
    <t xml:space="preserve">Command</t>
  </si>
  <si>
    <t xml:space="preserve">Result on 2026-10-09</t>
  </si>
  <si>
    <t xml:space="preserve">Environment</t>
  </si>
  <si>
    <t xml:space="preserve">ATIP-DEV (master, after PR #8)</t>
  </si>
  <si>
    <t xml:space="preserve">python -m pytest</t>
  </si>
  <si>
    <t xml:space="preserve">PASS: 1,336 passed, 42 skipped, 0 failed (the merged tree; CI pytest + image green)</t>
  </si>
  <si>
    <t xml:space="preserve">Linux container (not macOS): Python 3.13.16, Node 22.22, PHP 8.3.6, MySQL 8.0.46</t>
  </si>
  <si>
    <t xml:space="preserve">ATIP-DEV (before today's merges)</t>
  </si>
  <si>
    <t xml:space="preserve">PASS: 1,321 passed, 36 skipped</t>
  </si>
  <si>
    <t xml:space="preserve">bkesari (main, now MySQL)</t>
  </si>
  <si>
    <t xml:space="preserve">tools/setup_local_mysql.sh: db:migrate + db:seed into bk_milk / bk_milk_test</t>
  </si>
  <si>
    <t xml:space="preserve">PASS: 52 tables each, 373 products, 5 demo shops</t>
  </si>
  <si>
    <t xml:space="preserve">npm test against bk_milk_test</t>
  </si>
  <si>
    <t xml:space="preserve">PASS: 284/284 on main with #12 and #13 merged, both with the setup script's .env and with a .env copied from .env.example (before #13: 270/281). typecheck clean, eslint 0 errors</t>
  </si>
  <si>
    <t xml:space="preserve">npm run dev</t>
  </si>
  <si>
    <t xml:space="preserve">PASS: / and /shops answer 200 and list the seeded shops from MySQL</t>
  </si>
  <si>
    <t xml:space="preserve">npm run test:e2e</t>
  </si>
  <si>
    <t xml:space="preserve">Not run (needs a browser session)</t>
  </si>
  <si>
    <t xml:space="preserve">bkesari-platform portal (main)</t>
  </si>
  <si>
    <t xml:space="preserve">npm test</t>
  </si>
  <si>
    <t xml:space="preserve">PASS: 44 node tests + 32 deploy-guard cases (CI green)</t>
  </si>
  <si>
    <t xml:space="preserve">bkesari-platform portal</t>
  </si>
  <si>
    <t xml:space="preserve">node --env-file=.env portal/server.js (MySQL bk_portal)</t>
  </si>
  <si>
    <t xml:space="preserve">PASS: / 200, /tasks/ 401 without login, a project created through the API is stored in bk_portal</t>
  </si>
  <si>
    <t xml:space="preserve">bkesari-platform edu/ (main)</t>
  </si>
  <si>
    <t xml:space="preserve">php artisan test</t>
  </si>
  <si>
    <t xml:space="preserve">PASS: 387 tests (CI edu job green)</t>
  </si>
  <si>
    <t xml:space="preserve">bkesari-platform edu/</t>
  </si>
  <si>
    <t xml:space="preserve">migrate --seed into bk_edu; php artisan serve</t>
  </si>
  <si>
    <t xml:space="preserve">PASS: 74 tables; /, /schools/1 and /login answer 200</t>
  </si>
  <si>
    <t xml:space="preserve">tools/setup_local_mysql.sh</t>
  </si>
  <si>
    <t xml:space="preserve">fresh run, then a second run</t>
  </si>
  <si>
    <t xml:space="preserve">PASS: creates 6 databases and users, writes 3 .env files, migrates and seeds; the re-run reuses passwords and seeds nothing twice; a user cannot read another site's database</t>
  </si>
  <si>
    <t xml:space="preserve">Value</t>
  </si>
  <si>
    <t xml:space="preserve">Meaning</t>
  </si>
  <si>
    <t xml:space="preserve">ATIP: the tracker's own phases 0-11 (docs/ATIP_MASTER_TRACKER.csv), plus 12 for the macOS / database PRs the tracker does not carry. Education: edu/ROADMAP.md's phases 1-8, plus 9 for modules built after them and 10 for multilingual. Milk &amp; Dairy and the portal record no phases, so they are grouped by delivery date and pull request.</t>
  </si>
  <si>
    <t xml:space="preserve">COMPLETED: every feature completed. BUILT - VERIFICATION PENDING: everything built and merged, independent QA / UAT still to do. IN PROGRESS: something is not started, in progress, blocked or in an open PR (blocked and in-review counts are shown). NOT STARTED: nothing built yet.</t>
  </si>
  <si>
    <t xml:space="preserve">Built and merged. ATIP: verified per its tracker. bkesari / Education: their automated test suites pass (see Test Runs).</t>
  </si>
  <si>
    <t xml:space="preserve">Built and merged with automated tests; independent QA / owner UAT still pending (ATIP's own vocabulary).</t>
  </si>
  <si>
    <t xml:space="preserve">Partly built; waits on an owner decision, credential or legal sign-off.</t>
  </si>
  <si>
    <t xml:space="preserve">Being worked on.</t>
  </si>
  <si>
    <t xml:space="preserve">IN REVIEW (open PR) / (draft PR)</t>
  </si>
  <si>
    <t xml:space="preserve">Code exists on a branch with a pull request; NOT merged into the default branch.</t>
  </si>
  <si>
    <t xml:space="preserve">Branch-only work that was replaced by something already merged; nothing to do.</t>
  </si>
  <si>
    <t xml:space="preserve">Documented as deferred in the repo's roadmap; no code yet.</t>
  </si>
  <si>
    <t xml:space="preserve">Yes = the change is on master (ATIP-DEV) or main (bkesari, bkesari-platform) on GitHub.</t>
  </si>
  <si>
    <t xml:space="preserve">State of a fresh clone made today, which mirrors GitHub. Commits that exist only on your Mac are not visible here; run tools/check_local_git.sh on the Mac.</t>
  </si>
  <si>
    <t xml:space="preserve">Fully merged (Branches)</t>
  </si>
  <si>
    <t xml:space="preserve">Every commit on the branch is in the default branch.</t>
  </si>
  <si>
    <t xml:space="preserve">The branch tip is not an ancestor, but git cherry finds every change already in the default branch.</t>
  </si>
  <si>
    <t xml:space="preserve">NOT merged (Branches)</t>
  </si>
  <si>
    <t xml:space="preserve">The branch has changes that are not in the default branch.</t>
  </si>
</sst>
</file>

<file path=xl/styles.xml><?xml version="1.0" encoding="utf-8"?>
<styleSheet xmlns="http://schemas.openxmlformats.org/spreadsheetml/2006/main">
  <numFmts count="3">
    <numFmt numFmtId="164" formatCode="General"/>
    <numFmt numFmtId="165" formatCode="yyyy\-mm\-dd"/>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6EFCE"/>
        <bgColor rgb="FFDDEBF7"/>
      </patternFill>
    </fill>
    <fill>
      <patternFill patternType="solid">
        <fgColor rgb="FFDDEBF7"/>
        <bgColor rgb="FFEDEDED"/>
      </patternFill>
    </fill>
    <fill>
      <patternFill patternType="solid">
        <fgColor rgb="FFFFC7CE"/>
        <bgColor rgb="FFFCE4D6"/>
      </patternFill>
    </fill>
    <fill>
      <patternFill patternType="solid">
        <fgColor rgb="FFFFEB9C"/>
        <bgColor rgb="FFFCE4D6"/>
      </patternFill>
    </fill>
    <fill>
      <patternFill patternType="solid">
        <fgColor rgb="FFFCE4D6"/>
        <bgColor rgb="FFEDEDED"/>
      </patternFill>
    </fill>
    <fill>
      <patternFill patternType="solid">
        <fgColor rgb="FFEDEDED"/>
        <bgColor rgb="FFDDEBF7"/>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DDEBF7"/>
        </patternFill>
      </fill>
    </dxf>
    <dxf>
      <fill>
        <patternFill>
          <bgColor rgb="FFEDEDED"/>
        </patternFill>
      </fill>
    </dxf>
    <dxf>
      <fill>
        <patternFill>
          <bgColor rgb="FFFFC7CE"/>
        </patternFill>
      </fill>
    </dxf>
    <dxf>
      <fill>
        <patternFill>
          <bgColor rgb="FFFFEB9C"/>
        </patternFill>
      </fill>
    </dxf>
    <dxf>
      <fill>
        <patternFill patternType="solid">
          <fgColor rgb="FFFCE4D6"/>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sanjaymorankar-debug/ATIP-DEV" TargetMode="External"/><Relationship Id="rId2" Type="http://schemas.openxmlformats.org/officeDocument/2006/relationships/hyperlink" Target="https://github.com/sanjaymorankar-debug/bkesari" TargetMode="External"/><Relationship Id="rId3" Type="http://schemas.openxmlformats.org/officeDocument/2006/relationships/hyperlink" Target="https://github.com/sanjaymorankar-debug/bkesari-platform"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github.com/sanjaymorankar-debug/ATIP-DEV/blob/master/docs/ATIP_MASTER_TRACKER.csv" TargetMode="External"/><Relationship Id="rId2" Type="http://schemas.openxmlformats.org/officeDocument/2006/relationships/hyperlink" Target="https://github.com/sanjaymorankar-debug/ATIP-DEV/blob/master/docs/ATIP_MASTER_TRACKER.csv" TargetMode="External"/><Relationship Id="rId3" Type="http://schemas.openxmlformats.org/officeDocument/2006/relationships/hyperlink" Target="https://github.com/sanjaymorankar-debug/ATIP-DEV/blob/master/docs/ATIP_MASTER_TRACKER.csv" TargetMode="External"/><Relationship Id="rId4" Type="http://schemas.openxmlformats.org/officeDocument/2006/relationships/hyperlink" Target="https://github.com/sanjaymorankar-debug/ATIP-DEV/blob/master/docs/ATIP_MASTER_TRACKER.csv" TargetMode="External"/><Relationship Id="rId5" Type="http://schemas.openxmlformats.org/officeDocument/2006/relationships/hyperlink" Target="https://github.com/sanjaymorankar-debug/ATIP-DEV/blob/master/docs/ATIP_MASTER_TRACKER.csv" TargetMode="External"/><Relationship Id="rId6" Type="http://schemas.openxmlformats.org/officeDocument/2006/relationships/hyperlink" Target="https://github.com/sanjaymorankar-debug/ATIP-DEV/blob/master/docs/ATIP_MASTER_TRACKER.csv" TargetMode="External"/><Relationship Id="rId7" Type="http://schemas.openxmlformats.org/officeDocument/2006/relationships/hyperlink" Target="https://github.com/sanjaymorankar-debug/ATIP-DEV/blob/master/docs/ATIP_MASTER_TRACKER.csv" TargetMode="External"/><Relationship Id="rId8" Type="http://schemas.openxmlformats.org/officeDocument/2006/relationships/hyperlink" Target="https://github.com/sanjaymorankar-debug/ATIP-DEV/blob/master/docs/ATIP_MASTER_TRACKER.csv" TargetMode="External"/><Relationship Id="rId9" Type="http://schemas.openxmlformats.org/officeDocument/2006/relationships/hyperlink" Target="https://github.com/sanjaymorankar-debug/ATIP-DEV/blob/master/docs/ATIP_MASTER_TRACKER.csv" TargetMode="External"/><Relationship Id="rId10" Type="http://schemas.openxmlformats.org/officeDocument/2006/relationships/hyperlink" Target="https://github.com/sanjaymorankar-debug/ATIP-DEV/blob/master/docs/ATIP_MASTER_TRACKER.csv" TargetMode="External"/><Relationship Id="rId11" Type="http://schemas.openxmlformats.org/officeDocument/2006/relationships/hyperlink" Target="https://github.com/sanjaymorankar-debug/ATIP-DEV/blob/master/docs/ATIP_MASTER_TRACKER.csv" TargetMode="External"/><Relationship Id="rId12" Type="http://schemas.openxmlformats.org/officeDocument/2006/relationships/hyperlink" Target="https://github.com/sanjaymorankar-debug/ATIP-DEV/blob/master/docs/ATIP_MASTER_TRACKER.csv" TargetMode="External"/><Relationship Id="rId13" Type="http://schemas.openxmlformats.org/officeDocument/2006/relationships/hyperlink" Target="https://github.com/sanjaymorankar-debug/ATIP-DEV/blob/master/docs/ATIP_MASTER_TRACKER.csv" TargetMode="External"/><Relationship Id="rId14" Type="http://schemas.openxmlformats.org/officeDocument/2006/relationships/hyperlink" Target="https://github.com/sanjaymorankar-debug/ATIP-DEV/blob/master/docs/ATIP_MASTER_TRACKER.csv" TargetMode="External"/><Relationship Id="rId15" Type="http://schemas.openxmlformats.org/officeDocument/2006/relationships/hyperlink" Target="https://github.com/sanjaymorankar-debug/ATIP-DEV/blob/master/docs/ATIP_MASTER_TRACKER.csv" TargetMode="External"/><Relationship Id="rId16" Type="http://schemas.openxmlformats.org/officeDocument/2006/relationships/hyperlink" Target="https://github.com/sanjaymorankar-debug/ATIP-DEV/blob/master/docs/ATIP_MASTER_TRACKER.csv" TargetMode="External"/><Relationship Id="rId17" Type="http://schemas.openxmlformats.org/officeDocument/2006/relationships/hyperlink" Target="https://github.com/sanjaymorankar-debug/ATIP-DEV/blob/master/docs/ATIP_MASTER_TRACKER.csv" TargetMode="External"/><Relationship Id="rId18" Type="http://schemas.openxmlformats.org/officeDocument/2006/relationships/hyperlink" Target="https://github.com/sanjaymorankar-debug/ATIP-DEV/blob/master/docs/ATIP_MASTER_TRACKER.csv" TargetMode="External"/><Relationship Id="rId19" Type="http://schemas.openxmlformats.org/officeDocument/2006/relationships/hyperlink" Target="https://github.com/sanjaymorankar-debug/ATIP-DEV/blob/master/docs/ATIP_MASTER_TRACKER.csv" TargetMode="External"/><Relationship Id="rId20" Type="http://schemas.openxmlformats.org/officeDocument/2006/relationships/hyperlink" Target="https://github.com/sanjaymorankar-debug/ATIP-DEV/blob/master/docs/ATIP_MASTER_TRACKER.csv" TargetMode="External"/><Relationship Id="rId21" Type="http://schemas.openxmlformats.org/officeDocument/2006/relationships/hyperlink" Target="https://github.com/sanjaymorankar-debug/ATIP-DEV/blob/master/docs/ATIP_MASTER_TRACKER.csv" TargetMode="External"/><Relationship Id="rId22" Type="http://schemas.openxmlformats.org/officeDocument/2006/relationships/hyperlink" Target="https://github.com/sanjaymorankar-debug/ATIP-DEV/blob/master/docs/ATIP_MASTER_TRACKER.csv" TargetMode="External"/><Relationship Id="rId23" Type="http://schemas.openxmlformats.org/officeDocument/2006/relationships/hyperlink" Target="https://github.com/sanjaymorankar-debug/ATIP-DEV/blob/master/docs/ATIP_MASTER_TRACKER.csv" TargetMode="External"/><Relationship Id="rId24" Type="http://schemas.openxmlformats.org/officeDocument/2006/relationships/hyperlink" Target="https://github.com/sanjaymorankar-debug/ATIP-DEV/blob/master/docs/ATIP_MASTER_TRACKER.csv" TargetMode="External"/><Relationship Id="rId25" Type="http://schemas.openxmlformats.org/officeDocument/2006/relationships/hyperlink" Target="https://github.com/sanjaymorankar-debug/ATIP-DEV/blob/master/docs/ATIP_MASTER_TRACKER.csv" TargetMode="External"/><Relationship Id="rId26" Type="http://schemas.openxmlformats.org/officeDocument/2006/relationships/hyperlink" Target="https://github.com/sanjaymorankar-debug/ATIP-DEV/blob/master/docs/ATIP_MASTER_TRACKER.csv" TargetMode="External"/><Relationship Id="rId27" Type="http://schemas.openxmlformats.org/officeDocument/2006/relationships/hyperlink" Target="https://github.com/sanjaymorankar-debug/ATIP-DEV/blob/master/docs/ATIP_MASTER_TRACKER.csv" TargetMode="External"/><Relationship Id="rId28" Type="http://schemas.openxmlformats.org/officeDocument/2006/relationships/hyperlink" Target="https://github.com/sanjaymorankar-debug/ATIP-DEV/blob/master/docs/ATIP_MASTER_TRACKER.csv" TargetMode="External"/><Relationship Id="rId29" Type="http://schemas.openxmlformats.org/officeDocument/2006/relationships/hyperlink" Target="https://github.com/sanjaymorankar-debug/ATIP-DEV/blob/master/docs/ATIP_MASTER_TRACKER.csv" TargetMode="External"/><Relationship Id="rId30" Type="http://schemas.openxmlformats.org/officeDocument/2006/relationships/hyperlink" Target="https://github.com/sanjaymorankar-debug/ATIP-DEV/blob/master/docs/ATIP_MASTER_TRACKER.csv" TargetMode="External"/><Relationship Id="rId31" Type="http://schemas.openxmlformats.org/officeDocument/2006/relationships/hyperlink" Target="https://github.com/sanjaymorankar-debug/ATIP-DEV/blob/master/docs/ATIP_MASTER_TRACKER.csv" TargetMode="External"/><Relationship Id="rId32" Type="http://schemas.openxmlformats.org/officeDocument/2006/relationships/hyperlink" Target="https://github.com/sanjaymorankar-debug/ATIP-DEV/blob/master/docs/ATIP_MASTER_TRACKER.csv" TargetMode="External"/><Relationship Id="rId33" Type="http://schemas.openxmlformats.org/officeDocument/2006/relationships/hyperlink" Target="https://github.com/sanjaymorankar-debug/ATIP-DEV/blob/master/docs/ATIP_MASTER_TRACKER.csv" TargetMode="External"/><Relationship Id="rId34" Type="http://schemas.openxmlformats.org/officeDocument/2006/relationships/hyperlink" Target="https://github.com/sanjaymorankar-debug/ATIP-DEV/blob/master/docs/ATIP_MASTER_TRACKER.csv" TargetMode="External"/><Relationship Id="rId35" Type="http://schemas.openxmlformats.org/officeDocument/2006/relationships/hyperlink" Target="https://github.com/sanjaymorankar-debug/ATIP-DEV/blob/master/docs/ATIP_MASTER_TRACKER.csv" TargetMode="External"/><Relationship Id="rId36" Type="http://schemas.openxmlformats.org/officeDocument/2006/relationships/hyperlink" Target="https://github.com/sanjaymorankar-debug/ATIP-DEV/blob/master/docs/ATIP_MASTER_TRACKER.csv" TargetMode="External"/><Relationship Id="rId37" Type="http://schemas.openxmlformats.org/officeDocument/2006/relationships/hyperlink" Target="https://github.com/sanjaymorankar-debug/ATIP-DEV/blob/master/docs/ATIP_MASTER_TRACKER.csv" TargetMode="External"/><Relationship Id="rId38" Type="http://schemas.openxmlformats.org/officeDocument/2006/relationships/hyperlink" Target="https://github.com/sanjaymorankar-debug/ATIP-DEV/blob/master/docs/ATIP_MASTER_TRACKER.csv" TargetMode="External"/><Relationship Id="rId39" Type="http://schemas.openxmlformats.org/officeDocument/2006/relationships/hyperlink" Target="https://github.com/sanjaymorankar-debug/ATIP-DEV/blob/master/docs/ATIP_MASTER_TRACKER.csv" TargetMode="External"/><Relationship Id="rId40" Type="http://schemas.openxmlformats.org/officeDocument/2006/relationships/hyperlink" Target="https://github.com/sanjaymorankar-debug/ATIP-DEV/blob/master/docs/ATIP_MASTER_TRACKER.csv" TargetMode="External"/><Relationship Id="rId41" Type="http://schemas.openxmlformats.org/officeDocument/2006/relationships/hyperlink" Target="https://github.com/sanjaymorankar-debug/ATIP-DEV/blob/master/docs/ATIP_MASTER_TRACKER.csv" TargetMode="External"/><Relationship Id="rId42" Type="http://schemas.openxmlformats.org/officeDocument/2006/relationships/hyperlink" Target="https://github.com/sanjaymorankar-debug/ATIP-DEV/blob/master/docs/ATIP_MASTER_TRACKER.csv" TargetMode="External"/><Relationship Id="rId43" Type="http://schemas.openxmlformats.org/officeDocument/2006/relationships/hyperlink" Target="https://github.com/sanjaymorankar-debug/ATIP-DEV/blob/master/docs/ATIP_MASTER_TRACKER.csv" TargetMode="External"/><Relationship Id="rId44" Type="http://schemas.openxmlformats.org/officeDocument/2006/relationships/hyperlink" Target="https://github.com/sanjaymorankar-debug/ATIP-DEV/blob/master/docs/ATIP_MASTER_TRACKER.csv" TargetMode="External"/><Relationship Id="rId45" Type="http://schemas.openxmlformats.org/officeDocument/2006/relationships/hyperlink" Target="https://github.com/sanjaymorankar-debug/ATIP-DEV/blob/master/docs/ATIP_MASTER_TRACKER.csv" TargetMode="External"/><Relationship Id="rId46" Type="http://schemas.openxmlformats.org/officeDocument/2006/relationships/hyperlink" Target="https://github.com/sanjaymorankar-debug/ATIP-DEV/blob/master/docs/ATIP_MASTER_TRACKER.csv" TargetMode="External"/><Relationship Id="rId47" Type="http://schemas.openxmlformats.org/officeDocument/2006/relationships/hyperlink" Target="https://github.com/sanjaymorankar-debug/ATIP-DEV/blob/master/docs/ATIP_MASTER_TRACKER.csv" TargetMode="External"/><Relationship Id="rId48" Type="http://schemas.openxmlformats.org/officeDocument/2006/relationships/hyperlink" Target="https://github.com/sanjaymorankar-debug/ATIP-DEV/blob/master/docs/ATIP_MASTER_TRACKER.csv" TargetMode="External"/><Relationship Id="rId49" Type="http://schemas.openxmlformats.org/officeDocument/2006/relationships/hyperlink" Target="https://github.com/sanjaymorankar-debug/ATIP-DEV/blob/master/docs/ATIP_MASTER_TRACKER.csv" TargetMode="External"/><Relationship Id="rId50" Type="http://schemas.openxmlformats.org/officeDocument/2006/relationships/hyperlink" Target="https://github.com/sanjaymorankar-debug/ATIP-DEV/blob/master/docs/ATIP_MASTER_TRACKER.csv" TargetMode="External"/><Relationship Id="rId51" Type="http://schemas.openxmlformats.org/officeDocument/2006/relationships/hyperlink" Target="https://github.com/sanjaymorankar-debug/ATIP-DEV/blob/master/docs/ATIP_MASTER_TRACKER.csv" TargetMode="External"/><Relationship Id="rId52" Type="http://schemas.openxmlformats.org/officeDocument/2006/relationships/hyperlink" Target="https://github.com/sanjaymorankar-debug/ATIP-DEV/blob/master/docs/ATIP_MASTER_TRACKER.csv" TargetMode="External"/><Relationship Id="rId53" Type="http://schemas.openxmlformats.org/officeDocument/2006/relationships/hyperlink" Target="https://github.com/sanjaymorankar-debug/ATIP-DEV/blob/master/docs/ATIP_MASTER_TRACKER.csv" TargetMode="External"/><Relationship Id="rId54" Type="http://schemas.openxmlformats.org/officeDocument/2006/relationships/hyperlink" Target="https://github.com/sanjaymorankar-debug/ATIP-DEV/blob/master/docs/ATIP_MASTER_TRACKER.csv" TargetMode="External"/><Relationship Id="rId55" Type="http://schemas.openxmlformats.org/officeDocument/2006/relationships/hyperlink" Target="https://github.com/sanjaymorankar-debug/ATIP-DEV/blob/master/docs/ATIP_MASTER_TRACKER.csv" TargetMode="External"/><Relationship Id="rId56" Type="http://schemas.openxmlformats.org/officeDocument/2006/relationships/hyperlink" Target="https://github.com/sanjaymorankar-debug/ATIP-DEV/blob/master/docs/ATIP_MASTER_TRACKER.csv" TargetMode="External"/><Relationship Id="rId57" Type="http://schemas.openxmlformats.org/officeDocument/2006/relationships/hyperlink" Target="https://github.com/sanjaymorankar-debug/ATIP-DEV/blob/master/docs/ATIP_MASTER_TRACKER.csv" TargetMode="External"/><Relationship Id="rId58" Type="http://schemas.openxmlformats.org/officeDocument/2006/relationships/hyperlink" Target="https://github.com/sanjaymorankar-debug/ATIP-DEV/blob/master/docs/ATIP_MASTER_TRACKER.csv" TargetMode="External"/><Relationship Id="rId59" Type="http://schemas.openxmlformats.org/officeDocument/2006/relationships/hyperlink" Target="https://github.com/sanjaymorankar-debug/ATIP-DEV/blob/master/docs/ATIP_MASTER_TRACKER.csv" TargetMode="External"/><Relationship Id="rId60" Type="http://schemas.openxmlformats.org/officeDocument/2006/relationships/hyperlink" Target="https://github.com/sanjaymorankar-debug/ATIP-DEV/blob/master/docs/ATIP_MASTER_TRACKER.csv" TargetMode="External"/><Relationship Id="rId61" Type="http://schemas.openxmlformats.org/officeDocument/2006/relationships/hyperlink" Target="https://github.com/sanjaymorankar-debug/ATIP-DEV/blob/master/docs/ATIP_MASTER_TRACKER.csv" TargetMode="External"/><Relationship Id="rId62" Type="http://schemas.openxmlformats.org/officeDocument/2006/relationships/hyperlink" Target="https://github.com/sanjaymorankar-debug/ATIP-DEV/blob/master/docs/ATIP_MASTER_TRACKER.csv" TargetMode="External"/><Relationship Id="rId63" Type="http://schemas.openxmlformats.org/officeDocument/2006/relationships/hyperlink" Target="https://github.com/sanjaymorankar-debug/ATIP-DEV/blob/master/docs/ATIP_MASTER_TRACKER.csv" TargetMode="External"/><Relationship Id="rId64" Type="http://schemas.openxmlformats.org/officeDocument/2006/relationships/hyperlink" Target="https://github.com/sanjaymorankar-debug/ATIP-DEV/blob/master/docs/ATIP_MASTER_TRACKER.csv" TargetMode="External"/><Relationship Id="rId65" Type="http://schemas.openxmlformats.org/officeDocument/2006/relationships/hyperlink" Target="https://github.com/sanjaymorankar-debug/ATIP-DEV/blob/master/docs/ATIP_MASTER_TRACKER.csv" TargetMode="External"/><Relationship Id="rId66" Type="http://schemas.openxmlformats.org/officeDocument/2006/relationships/hyperlink" Target="https://github.com/sanjaymorankar-debug/ATIP-DEV/blob/master/docs/ATIP_MASTER_TRACKER.csv" TargetMode="External"/><Relationship Id="rId67" Type="http://schemas.openxmlformats.org/officeDocument/2006/relationships/hyperlink" Target="https://github.com/sanjaymorankar-debug/ATIP-DEV/blob/master/docs/ATIP_MASTER_TRACKER.csv" TargetMode="External"/><Relationship Id="rId68" Type="http://schemas.openxmlformats.org/officeDocument/2006/relationships/hyperlink" Target="https://github.com/sanjaymorankar-debug/ATIP-DEV/blob/master/docs/ATIP_MASTER_TRACKER.csv" TargetMode="External"/><Relationship Id="rId69" Type="http://schemas.openxmlformats.org/officeDocument/2006/relationships/hyperlink" Target="https://github.com/sanjaymorankar-debug/ATIP-DEV/blob/master/docs/ATIP_MASTER_TRACKER.csv" TargetMode="External"/><Relationship Id="rId70" Type="http://schemas.openxmlformats.org/officeDocument/2006/relationships/hyperlink" Target="https://github.com/sanjaymorankar-debug/ATIP-DEV/blob/master/docs/ATIP_MASTER_TRACKER.csv" TargetMode="External"/><Relationship Id="rId71" Type="http://schemas.openxmlformats.org/officeDocument/2006/relationships/hyperlink" Target="https://github.com/sanjaymorankar-debug/ATIP-DEV/blob/master/docs/ATIP_MASTER_TRACKER.csv" TargetMode="External"/><Relationship Id="rId72" Type="http://schemas.openxmlformats.org/officeDocument/2006/relationships/hyperlink" Target="https://github.com/sanjaymorankar-debug/ATIP-DEV/blob/master/docs/ATIP_MASTER_TRACKER.csv" TargetMode="External"/><Relationship Id="rId73" Type="http://schemas.openxmlformats.org/officeDocument/2006/relationships/hyperlink" Target="https://github.com/sanjaymorankar-debug/ATIP-DEV/blob/master/docs/ATIP_MASTER_TRACKER.csv" TargetMode="External"/><Relationship Id="rId74" Type="http://schemas.openxmlformats.org/officeDocument/2006/relationships/hyperlink" Target="https://github.com/sanjaymorankar-debug/ATIP-DEV/blob/master/docs/ATIP_MASTER_TRACKER.csv" TargetMode="External"/><Relationship Id="rId75" Type="http://schemas.openxmlformats.org/officeDocument/2006/relationships/hyperlink" Target="https://github.com/sanjaymorankar-debug/ATIP-DEV/blob/master/docs/ATIP_MASTER_TRACKER.csv" TargetMode="External"/><Relationship Id="rId76" Type="http://schemas.openxmlformats.org/officeDocument/2006/relationships/hyperlink" Target="https://github.com/sanjaymorankar-debug/ATIP-DEV/blob/master/docs/ATIP_MASTER_TRACKER.csv" TargetMode="External"/><Relationship Id="rId77" Type="http://schemas.openxmlformats.org/officeDocument/2006/relationships/hyperlink" Target="https://github.com/sanjaymorankar-debug/ATIP-DEV/blob/master/docs/ATIP_MASTER_TRACKER.csv" TargetMode="External"/><Relationship Id="rId78" Type="http://schemas.openxmlformats.org/officeDocument/2006/relationships/hyperlink" Target="https://github.com/sanjaymorankar-debug/ATIP-DEV/blob/master/docs/ATIP_MASTER_TRACKER.csv" TargetMode="External"/><Relationship Id="rId79" Type="http://schemas.openxmlformats.org/officeDocument/2006/relationships/hyperlink" Target="https://github.com/sanjaymorankar-debug/ATIP-DEV/blob/master/docs/ATIP_MASTER_TRACKER.csv" TargetMode="External"/><Relationship Id="rId80" Type="http://schemas.openxmlformats.org/officeDocument/2006/relationships/hyperlink" Target="https://github.com/sanjaymorankar-debug/ATIP-DEV/blob/master/docs/ATIP_MASTER_TRACKER.csv" TargetMode="External"/><Relationship Id="rId81" Type="http://schemas.openxmlformats.org/officeDocument/2006/relationships/hyperlink" Target="https://github.com/sanjaymorankar-debug/ATIP-DEV/blob/master/docs/ATIP_MASTER_TRACKER.csv" TargetMode="External"/><Relationship Id="rId82" Type="http://schemas.openxmlformats.org/officeDocument/2006/relationships/hyperlink" Target="https://github.com/sanjaymorankar-debug/ATIP-DEV/blob/master/docs/ATIP_MASTER_TRACKER.csv" TargetMode="External"/><Relationship Id="rId83" Type="http://schemas.openxmlformats.org/officeDocument/2006/relationships/hyperlink" Target="https://github.com/sanjaymorankar-debug/ATIP-DEV/blob/master/docs/ATIP_MASTER_TRACKER.csv" TargetMode="External"/><Relationship Id="rId84" Type="http://schemas.openxmlformats.org/officeDocument/2006/relationships/hyperlink" Target="https://github.com/sanjaymorankar-debug/ATIP-DEV/blob/master/docs/ATIP_MASTER_TRACKER.csv" TargetMode="External"/><Relationship Id="rId85" Type="http://schemas.openxmlformats.org/officeDocument/2006/relationships/hyperlink" Target="https://github.com/sanjaymorankar-debug/ATIP-DEV/blob/master/docs/ATIP_MASTER_TRACKER.csv" TargetMode="External"/><Relationship Id="rId86" Type="http://schemas.openxmlformats.org/officeDocument/2006/relationships/hyperlink" Target="https://github.com/sanjaymorankar-debug/ATIP-DEV/blob/master/docs/ATIP_MASTER_TRACKER.csv" TargetMode="External"/><Relationship Id="rId87" Type="http://schemas.openxmlformats.org/officeDocument/2006/relationships/hyperlink" Target="https://github.com/sanjaymorankar-debug/ATIP-DEV/blob/master/docs/ATIP_MASTER_TRACKER.csv" TargetMode="External"/><Relationship Id="rId88" Type="http://schemas.openxmlformats.org/officeDocument/2006/relationships/hyperlink" Target="https://github.com/sanjaymorankar-debug/ATIP-DEV/blob/master/docs/ATIP_MASTER_TRACKER.csv" TargetMode="External"/><Relationship Id="rId89" Type="http://schemas.openxmlformats.org/officeDocument/2006/relationships/hyperlink" Target="https://github.com/sanjaymorankar-debug/ATIP-DEV/blob/master/docs/ATIP_MASTER_TRACKER.csv" TargetMode="External"/><Relationship Id="rId90" Type="http://schemas.openxmlformats.org/officeDocument/2006/relationships/hyperlink" Target="https://github.com/sanjaymorankar-debug/ATIP-DEV/blob/master/docs/ATIP_MASTER_TRACKER.csv" TargetMode="External"/><Relationship Id="rId91" Type="http://schemas.openxmlformats.org/officeDocument/2006/relationships/hyperlink" Target="https://github.com/sanjaymorankar-debug/ATIP-DEV/blob/master/docs/ATIP_MASTER_TRACKER.csv" TargetMode="External"/><Relationship Id="rId92" Type="http://schemas.openxmlformats.org/officeDocument/2006/relationships/hyperlink" Target="https://github.com/sanjaymorankar-debug/ATIP-DEV/blob/master/docs/ATIP_MASTER_TRACKER.csv" TargetMode="External"/><Relationship Id="rId93" Type="http://schemas.openxmlformats.org/officeDocument/2006/relationships/hyperlink" Target="https://github.com/sanjaymorankar-debug/ATIP-DEV/blob/master/docs/ATIP_MASTER_TRACKER.csv" TargetMode="External"/><Relationship Id="rId94" Type="http://schemas.openxmlformats.org/officeDocument/2006/relationships/hyperlink" Target="https://github.com/sanjaymorankar-debug/ATIP-DEV/blob/master/docs/ATIP_MASTER_TRACKER.csv" TargetMode="External"/><Relationship Id="rId95" Type="http://schemas.openxmlformats.org/officeDocument/2006/relationships/hyperlink" Target="https://github.com/sanjaymorankar-debug/ATIP-DEV/blob/master/docs/ATIP_MASTER_TRACKER.csv" TargetMode="External"/><Relationship Id="rId96" Type="http://schemas.openxmlformats.org/officeDocument/2006/relationships/hyperlink" Target="https://github.com/sanjaymorankar-debug/ATIP-DEV/blob/master/docs/ATIP_MASTER_TRACKER.csv" TargetMode="External"/><Relationship Id="rId97" Type="http://schemas.openxmlformats.org/officeDocument/2006/relationships/hyperlink" Target="https://github.com/sanjaymorankar-debug/ATIP-DEV/blob/master/docs/ATIP_MASTER_TRACKER.csv" TargetMode="External"/><Relationship Id="rId98" Type="http://schemas.openxmlformats.org/officeDocument/2006/relationships/hyperlink" Target="https://github.com/sanjaymorankar-debug/ATIP-DEV/blob/master/docs/ATIP_MASTER_TRACKER.csv" TargetMode="External"/><Relationship Id="rId99" Type="http://schemas.openxmlformats.org/officeDocument/2006/relationships/hyperlink" Target="https://github.com/sanjaymorankar-debug/ATIP-DEV/blob/master/docs/ATIP_MASTER_TRACKER.csv" TargetMode="External"/><Relationship Id="rId100" Type="http://schemas.openxmlformats.org/officeDocument/2006/relationships/hyperlink" Target="https://github.com/sanjaymorankar-debug/ATIP-DEV/blob/master/docs/ATIP_MASTER_TRACKER.csv" TargetMode="External"/><Relationship Id="rId101" Type="http://schemas.openxmlformats.org/officeDocument/2006/relationships/hyperlink" Target="https://github.com/sanjaymorankar-debug/ATIP-DEV/blob/master/docs/ATIP_MASTER_TRACKER.csv" TargetMode="External"/><Relationship Id="rId102" Type="http://schemas.openxmlformats.org/officeDocument/2006/relationships/hyperlink" Target="https://github.com/sanjaymorankar-debug/ATIP-DEV/blob/master/docs/ATIP_MASTER_TRACKER.csv" TargetMode="External"/><Relationship Id="rId103" Type="http://schemas.openxmlformats.org/officeDocument/2006/relationships/hyperlink" Target="https://github.com/sanjaymorankar-debug/ATIP-DEV/blob/master/docs/ATIP_MASTER_TRACKER.csv" TargetMode="External"/><Relationship Id="rId104" Type="http://schemas.openxmlformats.org/officeDocument/2006/relationships/hyperlink" Target="https://github.com/sanjaymorankar-debug/ATIP-DEV/blob/master/docs/ATIP_MASTER_TRACKER.csv" TargetMode="External"/><Relationship Id="rId105" Type="http://schemas.openxmlformats.org/officeDocument/2006/relationships/hyperlink" Target="https://github.com/sanjaymorankar-debug/ATIP-DEV/blob/master/docs/ATIP_MASTER_TRACKER.csv" TargetMode="External"/><Relationship Id="rId106" Type="http://schemas.openxmlformats.org/officeDocument/2006/relationships/hyperlink" Target="https://github.com/sanjaymorankar-debug/ATIP-DEV/blob/master/docs/ATIP_MASTER_TRACKER.csv" TargetMode="External"/><Relationship Id="rId107" Type="http://schemas.openxmlformats.org/officeDocument/2006/relationships/hyperlink" Target="https://github.com/sanjaymorankar-debug/ATIP-DEV/blob/master/docs/ATIP_MASTER_TRACKER.csv" TargetMode="External"/><Relationship Id="rId108" Type="http://schemas.openxmlformats.org/officeDocument/2006/relationships/hyperlink" Target="https://github.com/sanjaymorankar-debug/ATIP-DEV/blob/master/docs/ATIP_MASTER_TRACKER.csv" TargetMode="External"/><Relationship Id="rId109" Type="http://schemas.openxmlformats.org/officeDocument/2006/relationships/hyperlink" Target="https://github.com/sanjaymorankar-debug/ATIP-DEV/blob/master/docs/ATIP_MASTER_TRACKER.csv" TargetMode="External"/><Relationship Id="rId110" Type="http://schemas.openxmlformats.org/officeDocument/2006/relationships/hyperlink" Target="https://github.com/sanjaymorankar-debug/ATIP-DEV/blob/master/docs/ATIP_MASTER_TRACKER.csv" TargetMode="External"/><Relationship Id="rId111" Type="http://schemas.openxmlformats.org/officeDocument/2006/relationships/hyperlink" Target="https://github.com/sanjaymorankar-debug/ATIP-DEV/blob/master/docs/ATIP_MASTER_TRACKER.csv" TargetMode="External"/><Relationship Id="rId112" Type="http://schemas.openxmlformats.org/officeDocument/2006/relationships/hyperlink" Target="https://github.com/sanjaymorankar-debug/ATIP-DEV/blob/master/docs/ATIP_MASTER_TRACKER.csv" TargetMode="External"/><Relationship Id="rId113" Type="http://schemas.openxmlformats.org/officeDocument/2006/relationships/hyperlink" Target="https://github.com/sanjaymorankar-debug/ATIP-DEV/blob/master/docs/ATIP_MASTER_TRACKER.csv" TargetMode="External"/><Relationship Id="rId114" Type="http://schemas.openxmlformats.org/officeDocument/2006/relationships/hyperlink" Target="https://github.com/sanjaymorankar-debug/ATIP-DEV/blob/master/docs/ATIP_MASTER_TRACKER.csv" TargetMode="External"/><Relationship Id="rId115" Type="http://schemas.openxmlformats.org/officeDocument/2006/relationships/hyperlink" Target="https://github.com/sanjaymorankar-debug/ATIP-DEV/blob/master/docs/ATIP_MASTER_TRACKER.csv" TargetMode="External"/><Relationship Id="rId116" Type="http://schemas.openxmlformats.org/officeDocument/2006/relationships/hyperlink" Target="https://github.com/sanjaymorankar-debug/ATIP-DEV/blob/master/docs/ATIP_MASTER_TRACKER.csv" TargetMode="External"/><Relationship Id="rId117" Type="http://schemas.openxmlformats.org/officeDocument/2006/relationships/hyperlink" Target="https://github.com/sanjaymorankar-debug/ATIP-DEV/blob/master/docs/ATIP_MASTER_TRACKER.csv" TargetMode="External"/><Relationship Id="rId118" Type="http://schemas.openxmlformats.org/officeDocument/2006/relationships/hyperlink" Target="https://github.com/sanjaymorankar-debug/ATIP-DEV/blob/master/docs/ATIP_MASTER_TRACKER.csv" TargetMode="External"/><Relationship Id="rId119" Type="http://schemas.openxmlformats.org/officeDocument/2006/relationships/hyperlink" Target="https://github.com/sanjaymorankar-debug/ATIP-DEV/blob/master/docs/ATIP_MASTER_TRACKER.csv" TargetMode="External"/><Relationship Id="rId120" Type="http://schemas.openxmlformats.org/officeDocument/2006/relationships/hyperlink" Target="https://github.com/sanjaymorankar-debug/ATIP-DEV/blob/master/docs/ATIP_MASTER_TRACKER.csv" TargetMode="External"/><Relationship Id="rId121" Type="http://schemas.openxmlformats.org/officeDocument/2006/relationships/hyperlink" Target="https://github.com/sanjaymorankar-debug/ATIP-DEV/blob/master/docs/ATIP_MASTER_TRACKER.csv" TargetMode="External"/><Relationship Id="rId122" Type="http://schemas.openxmlformats.org/officeDocument/2006/relationships/hyperlink" Target="https://github.com/sanjaymorankar-debug/ATIP-DEV/blob/master/docs/ATIP_MASTER_TRACKER.csv" TargetMode="External"/><Relationship Id="rId123" Type="http://schemas.openxmlformats.org/officeDocument/2006/relationships/hyperlink" Target="https://github.com/sanjaymorankar-debug/ATIP-DEV/blob/master/docs/ATIP_MASTER_TRACKER.csv" TargetMode="External"/><Relationship Id="rId124" Type="http://schemas.openxmlformats.org/officeDocument/2006/relationships/hyperlink" Target="https://github.com/sanjaymorankar-debug/ATIP-DEV/blob/master/docs/ATIP_MASTER_TRACKER.csv" TargetMode="External"/><Relationship Id="rId125" Type="http://schemas.openxmlformats.org/officeDocument/2006/relationships/hyperlink" Target="https://github.com/sanjaymorankar-debug/ATIP-DEV/blob/master/docs/ATIP_MASTER_TRACKER.csv" TargetMode="External"/><Relationship Id="rId126" Type="http://schemas.openxmlformats.org/officeDocument/2006/relationships/hyperlink" Target="https://github.com/sanjaymorankar-debug/ATIP-DEV/blob/master/docs/ATIP_MASTER_TRACKER.csv" TargetMode="External"/><Relationship Id="rId127" Type="http://schemas.openxmlformats.org/officeDocument/2006/relationships/hyperlink" Target="https://github.com/sanjaymorankar-debug/ATIP-DEV/blob/master/docs/ATIP_MASTER_TRACKER.csv" TargetMode="External"/><Relationship Id="rId128" Type="http://schemas.openxmlformats.org/officeDocument/2006/relationships/hyperlink" Target="https://github.com/sanjaymorankar-debug/ATIP-DEV/blob/master/docs/ATIP_MASTER_TRACKER.csv" TargetMode="External"/><Relationship Id="rId129" Type="http://schemas.openxmlformats.org/officeDocument/2006/relationships/hyperlink" Target="https://github.com/sanjaymorankar-debug/ATIP-DEV/blob/master/docs/ATIP_MASTER_TRACKER.csv" TargetMode="External"/><Relationship Id="rId130" Type="http://schemas.openxmlformats.org/officeDocument/2006/relationships/hyperlink" Target="https://github.com/sanjaymorankar-debug/ATIP-DEV/blob/master/docs/ATIP_MASTER_TRACKER.csv" TargetMode="External"/><Relationship Id="rId131" Type="http://schemas.openxmlformats.org/officeDocument/2006/relationships/hyperlink" Target="https://github.com/sanjaymorankar-debug/ATIP-DEV/blob/master/docs/ATIP_MASTER_TRACKER.csv" TargetMode="External"/><Relationship Id="rId132" Type="http://schemas.openxmlformats.org/officeDocument/2006/relationships/hyperlink" Target="https://github.com/sanjaymorankar-debug/ATIP-DEV/blob/master/docs/ATIP_MASTER_TRACKER.csv" TargetMode="External"/><Relationship Id="rId133" Type="http://schemas.openxmlformats.org/officeDocument/2006/relationships/hyperlink" Target="https://github.com/sanjaymorankar-debug/ATIP-DEV/blob/master/docs/ATIP_MASTER_TRACKER.csv" TargetMode="External"/><Relationship Id="rId134" Type="http://schemas.openxmlformats.org/officeDocument/2006/relationships/hyperlink" Target="https://github.com/sanjaymorankar-debug/ATIP-DEV/blob/master/docs/ATIP_MASTER_TRACKER.csv" TargetMode="External"/><Relationship Id="rId135" Type="http://schemas.openxmlformats.org/officeDocument/2006/relationships/hyperlink" Target="https://github.com/sanjaymorankar-debug/ATIP-DEV/blob/master/docs/ATIP_MASTER_TRACKER.csv" TargetMode="External"/><Relationship Id="rId136" Type="http://schemas.openxmlformats.org/officeDocument/2006/relationships/hyperlink" Target="https://github.com/sanjaymorankar-debug/ATIP-DEV/blob/master/docs/ATIP_MASTER_TRACKER.csv" TargetMode="External"/><Relationship Id="rId137" Type="http://schemas.openxmlformats.org/officeDocument/2006/relationships/hyperlink" Target="https://github.com/sanjaymorankar-debug/ATIP-DEV/blob/master/docs/ATIP_MASTER_TRACKER.csv" TargetMode="External"/><Relationship Id="rId138" Type="http://schemas.openxmlformats.org/officeDocument/2006/relationships/hyperlink" Target="https://github.com/sanjaymorankar-debug/ATIP-DEV/blob/master/docs/ATIP_MASTER_TRACKER.csv" TargetMode="External"/><Relationship Id="rId139" Type="http://schemas.openxmlformats.org/officeDocument/2006/relationships/hyperlink" Target="https://github.com/sanjaymorankar-debug/ATIP-DEV/blob/master/docs/ATIP_MASTER_TRACKER.csv" TargetMode="External"/><Relationship Id="rId140" Type="http://schemas.openxmlformats.org/officeDocument/2006/relationships/hyperlink" Target="https://github.com/sanjaymorankar-debug/ATIP-DEV/blob/master/docs/ATIP_MASTER_TRACKER.csv" TargetMode="External"/><Relationship Id="rId141" Type="http://schemas.openxmlformats.org/officeDocument/2006/relationships/hyperlink" Target="https://github.com/sanjaymorankar-debug/ATIP-DEV/blob/master/docs/ATIP_MASTER_TRACKER.csv" TargetMode="External"/><Relationship Id="rId142" Type="http://schemas.openxmlformats.org/officeDocument/2006/relationships/hyperlink" Target="https://github.com/sanjaymorankar-debug/ATIP-DEV/blob/master/docs/ATIP_MASTER_TRACKER.csv" TargetMode="External"/><Relationship Id="rId143" Type="http://schemas.openxmlformats.org/officeDocument/2006/relationships/hyperlink" Target="https://github.com/sanjaymorankar-debug/ATIP-DEV/blob/master/docs/ATIP_MASTER_TRACKER.csv" TargetMode="External"/><Relationship Id="rId144" Type="http://schemas.openxmlformats.org/officeDocument/2006/relationships/hyperlink" Target="https://github.com/sanjaymorankar-debug/ATIP-DEV/blob/master/docs/ATIP_MASTER_TRACKER.csv" TargetMode="External"/><Relationship Id="rId145" Type="http://schemas.openxmlformats.org/officeDocument/2006/relationships/hyperlink" Target="https://github.com/sanjaymorankar-debug/ATIP-DEV/blob/master/docs/ATIP_MASTER_TRACKER.csv" TargetMode="External"/><Relationship Id="rId146" Type="http://schemas.openxmlformats.org/officeDocument/2006/relationships/hyperlink" Target="https://github.com/sanjaymorankar-debug/ATIP-DEV/blob/master/docs/ATIP_MASTER_TRACKER.csv" TargetMode="External"/><Relationship Id="rId147" Type="http://schemas.openxmlformats.org/officeDocument/2006/relationships/hyperlink" Target="https://github.com/sanjaymorankar-debug/ATIP-DEV/blob/master/docs/ATIP_MASTER_TRACKER.csv" TargetMode="External"/><Relationship Id="rId148" Type="http://schemas.openxmlformats.org/officeDocument/2006/relationships/hyperlink" Target="https://github.com/sanjaymorankar-debug/ATIP-DEV/blob/master/docs/ATIP_MASTER_TRACKER.csv" TargetMode="External"/><Relationship Id="rId149" Type="http://schemas.openxmlformats.org/officeDocument/2006/relationships/hyperlink" Target="https://github.com/sanjaymorankar-debug/ATIP-DEV/blob/master/docs/ATIP_MASTER_TRACKER.csv" TargetMode="External"/><Relationship Id="rId150" Type="http://schemas.openxmlformats.org/officeDocument/2006/relationships/hyperlink" Target="https://github.com/sanjaymorankar-debug/ATIP-DEV/blob/master/docs/ATIP_MASTER_TRACKER.csv" TargetMode="External"/><Relationship Id="rId151" Type="http://schemas.openxmlformats.org/officeDocument/2006/relationships/hyperlink" Target="https://github.com/sanjaymorankar-debug/ATIP-DEV/blob/master/docs/ATIP_MASTER_TRACKER.csv" TargetMode="External"/><Relationship Id="rId152" Type="http://schemas.openxmlformats.org/officeDocument/2006/relationships/hyperlink" Target="https://github.com/sanjaymorankar-debug/ATIP-DEV/blob/master/docs/ATIP_MASTER_TRACKER.csv" TargetMode="External"/><Relationship Id="rId153" Type="http://schemas.openxmlformats.org/officeDocument/2006/relationships/hyperlink" Target="https://github.com/sanjaymorankar-debug/ATIP-DEV/blob/master/docs/ATIP_MASTER_TRACKER.csv" TargetMode="External"/><Relationship Id="rId154" Type="http://schemas.openxmlformats.org/officeDocument/2006/relationships/hyperlink" Target="https://github.com/sanjaymorankar-debug/ATIP-DEV/blob/master/docs/ATIP_MASTER_TRACKER.csv" TargetMode="External"/><Relationship Id="rId155" Type="http://schemas.openxmlformats.org/officeDocument/2006/relationships/hyperlink" Target="https://github.com/sanjaymorankar-debug/ATIP-DEV/blob/master/docs/ATIP_MASTER_TRACKER.csv" TargetMode="External"/><Relationship Id="rId156" Type="http://schemas.openxmlformats.org/officeDocument/2006/relationships/hyperlink" Target="https://github.com/sanjaymorankar-debug/ATIP-DEV/blob/master/docs/ATIP_MASTER_TRACKER.csv" TargetMode="External"/><Relationship Id="rId157" Type="http://schemas.openxmlformats.org/officeDocument/2006/relationships/hyperlink" Target="https://github.com/sanjaymorankar-debug/ATIP-DEV/blob/master/docs/ATIP_MASTER_TRACKER.csv" TargetMode="External"/><Relationship Id="rId158" Type="http://schemas.openxmlformats.org/officeDocument/2006/relationships/hyperlink" Target="https://github.com/sanjaymorankar-debug/ATIP-DEV/blob/master/docs/ATIP_MASTER_TRACKER.csv" TargetMode="External"/><Relationship Id="rId159" Type="http://schemas.openxmlformats.org/officeDocument/2006/relationships/hyperlink" Target="https://github.com/sanjaymorankar-debug/ATIP-DEV/blob/master/docs/ATIP_MASTER_TRACKER.csv" TargetMode="External"/><Relationship Id="rId160" Type="http://schemas.openxmlformats.org/officeDocument/2006/relationships/hyperlink" Target="https://github.com/sanjaymorankar-debug/ATIP-DEV/blob/master/docs/ATIP_MASTER_TRACKER.csv" TargetMode="External"/><Relationship Id="rId161" Type="http://schemas.openxmlformats.org/officeDocument/2006/relationships/hyperlink" Target="https://github.com/sanjaymorankar-debug/ATIP-DEV/blob/master/docs/ATIP_MASTER_TRACKER.csv" TargetMode="External"/><Relationship Id="rId162" Type="http://schemas.openxmlformats.org/officeDocument/2006/relationships/hyperlink" Target="https://github.com/sanjaymorankar-debug/ATIP-DEV/blob/master/docs/ATIP_MASTER_TRACKER.csv" TargetMode="External"/><Relationship Id="rId163" Type="http://schemas.openxmlformats.org/officeDocument/2006/relationships/hyperlink" Target="https://github.com/sanjaymorankar-debug/ATIP-DEV/blob/master/docs/ATIP_MASTER_TRACKER.csv" TargetMode="External"/><Relationship Id="rId164" Type="http://schemas.openxmlformats.org/officeDocument/2006/relationships/hyperlink" Target="https://github.com/sanjaymorankar-debug/ATIP-DEV/blob/master/docs/ATIP_MASTER_TRACKER.csv" TargetMode="External"/><Relationship Id="rId165" Type="http://schemas.openxmlformats.org/officeDocument/2006/relationships/hyperlink" Target="https://github.com/sanjaymorankar-debug/ATIP-DEV/blob/master/docs/ATIP_MASTER_TRACKER.csv" TargetMode="External"/><Relationship Id="rId166" Type="http://schemas.openxmlformats.org/officeDocument/2006/relationships/hyperlink" Target="https://github.com/sanjaymorankar-debug/ATIP-DEV/blob/master/docs/ATIP_MASTER_TRACKER.csv" TargetMode="External"/><Relationship Id="rId167" Type="http://schemas.openxmlformats.org/officeDocument/2006/relationships/hyperlink" Target="https://github.com/sanjaymorankar-debug/ATIP-DEV/blob/master/docs/ATIP_MASTER_TRACKER.csv" TargetMode="External"/><Relationship Id="rId168" Type="http://schemas.openxmlformats.org/officeDocument/2006/relationships/hyperlink" Target="https://github.com/sanjaymorankar-debug/ATIP-DEV/blob/master/docs/ATIP_MASTER_TRACKER.csv" TargetMode="External"/><Relationship Id="rId169" Type="http://schemas.openxmlformats.org/officeDocument/2006/relationships/hyperlink" Target="https://github.com/sanjaymorankar-debug/ATIP-DEV/blob/master/docs/ATIP_MASTER_TRACKER.csv" TargetMode="External"/><Relationship Id="rId170" Type="http://schemas.openxmlformats.org/officeDocument/2006/relationships/hyperlink" Target="https://github.com/sanjaymorankar-debug/ATIP-DEV/blob/master/docs/ATIP_MASTER_TRACKER.csv" TargetMode="External"/><Relationship Id="rId171" Type="http://schemas.openxmlformats.org/officeDocument/2006/relationships/hyperlink" Target="https://github.com/sanjaymorankar-debug/ATIP-DEV/blob/master/docs/ATIP_MASTER_TRACKER.csv" TargetMode="External"/><Relationship Id="rId172" Type="http://schemas.openxmlformats.org/officeDocument/2006/relationships/hyperlink" Target="https://github.com/sanjaymorankar-debug/ATIP-DEV/blob/master/docs/ATIP_MASTER_TRACKER.csv" TargetMode="External"/><Relationship Id="rId173" Type="http://schemas.openxmlformats.org/officeDocument/2006/relationships/hyperlink" Target="https://github.com/sanjaymorankar-debug/ATIP-DEV/blob/master/docs/ATIP_MASTER_TRACKER.csv" TargetMode="External"/><Relationship Id="rId174" Type="http://schemas.openxmlformats.org/officeDocument/2006/relationships/hyperlink" Target="https://github.com/sanjaymorankar-debug/ATIP-DEV/blob/master/docs/ATIP_MASTER_TRACKER.csv" TargetMode="External"/><Relationship Id="rId175" Type="http://schemas.openxmlformats.org/officeDocument/2006/relationships/hyperlink" Target="https://github.com/sanjaymorankar-debug/ATIP-DEV/blob/master/docs/ATIP_MASTER_TRACKER.csv" TargetMode="External"/><Relationship Id="rId176" Type="http://schemas.openxmlformats.org/officeDocument/2006/relationships/hyperlink" Target="https://github.com/sanjaymorankar-debug/ATIP-DEV/blob/master/docs/ATIP_MASTER_TRACKER.csv" TargetMode="External"/><Relationship Id="rId177" Type="http://schemas.openxmlformats.org/officeDocument/2006/relationships/hyperlink" Target="https://github.com/sanjaymorankar-debug/ATIP-DEV/blob/master/docs/ATIP_MASTER_TRACKER.csv" TargetMode="External"/><Relationship Id="rId178" Type="http://schemas.openxmlformats.org/officeDocument/2006/relationships/hyperlink" Target="https://github.com/sanjaymorankar-debug/ATIP-DEV/blob/master/docs/ATIP_MASTER_TRACKER.csv" TargetMode="External"/><Relationship Id="rId179" Type="http://schemas.openxmlformats.org/officeDocument/2006/relationships/hyperlink" Target="https://github.com/sanjaymorankar-debug/ATIP-DEV/blob/master/docs/ATIP_MASTER_TRACKER.csv" TargetMode="External"/><Relationship Id="rId180" Type="http://schemas.openxmlformats.org/officeDocument/2006/relationships/hyperlink" Target="https://github.com/sanjaymorankar-debug/ATIP-DEV/blob/master/docs/ATIP_MASTER_TRACKER.csv" TargetMode="External"/><Relationship Id="rId181" Type="http://schemas.openxmlformats.org/officeDocument/2006/relationships/hyperlink" Target="https://github.com/sanjaymorankar-debug/ATIP-DEV/blob/master/docs/ATIP_MASTER_TRACKER.csv" TargetMode="External"/><Relationship Id="rId182" Type="http://schemas.openxmlformats.org/officeDocument/2006/relationships/hyperlink" Target="https://github.com/sanjaymorankar-debug/ATIP-DEV/blob/master/docs/ATIP_MASTER_TRACKER.csv" TargetMode="External"/><Relationship Id="rId183" Type="http://schemas.openxmlformats.org/officeDocument/2006/relationships/hyperlink" Target="https://github.com/sanjaymorankar-debug/ATIP-DEV/blob/master/docs/ATIP_MASTER_TRACKER.csv" TargetMode="External"/><Relationship Id="rId184" Type="http://schemas.openxmlformats.org/officeDocument/2006/relationships/hyperlink" Target="https://github.com/sanjaymorankar-debug/ATIP-DEV/blob/master/docs/ATIP_MASTER_TRACKER.csv" TargetMode="External"/><Relationship Id="rId185" Type="http://schemas.openxmlformats.org/officeDocument/2006/relationships/hyperlink" Target="https://github.com/sanjaymorankar-debug/ATIP-DEV/blob/master/docs/ATIP_MASTER_TRACKER.csv" TargetMode="External"/><Relationship Id="rId186" Type="http://schemas.openxmlformats.org/officeDocument/2006/relationships/hyperlink" Target="https://github.com/sanjaymorankar-debug/ATIP-DEV/blob/master/docs/ATIP_MASTER_TRACKER.csv" TargetMode="External"/><Relationship Id="rId187" Type="http://schemas.openxmlformats.org/officeDocument/2006/relationships/hyperlink" Target="https://github.com/sanjaymorankar-debug/ATIP-DEV/blob/master/docs/ATIP_MASTER_TRACKER.csv" TargetMode="External"/><Relationship Id="rId188" Type="http://schemas.openxmlformats.org/officeDocument/2006/relationships/hyperlink" Target="https://github.com/sanjaymorankar-debug/ATIP-DEV/blob/master/docs/ATIP_MASTER_TRACKER.csv" TargetMode="External"/><Relationship Id="rId189" Type="http://schemas.openxmlformats.org/officeDocument/2006/relationships/hyperlink" Target="https://github.com/sanjaymorankar-debug/ATIP-DEV/blob/master/docs/ATIP_MASTER_TRACKER.csv" TargetMode="External"/><Relationship Id="rId190" Type="http://schemas.openxmlformats.org/officeDocument/2006/relationships/hyperlink" Target="https://github.com/sanjaymorankar-debug/ATIP-DEV/blob/master/docs/ATIP_MASTER_TRACKER.csv" TargetMode="External"/><Relationship Id="rId191" Type="http://schemas.openxmlformats.org/officeDocument/2006/relationships/hyperlink" Target="https://github.com/sanjaymorankar-debug/ATIP-DEV/blob/master/docs/ATIP_MASTER_TRACKER.csv" TargetMode="External"/><Relationship Id="rId192" Type="http://schemas.openxmlformats.org/officeDocument/2006/relationships/hyperlink" Target="https://github.com/sanjaymorankar-debug/ATIP-DEV/blob/master/docs/ATIP_MASTER_TRACKER.csv" TargetMode="External"/><Relationship Id="rId193" Type="http://schemas.openxmlformats.org/officeDocument/2006/relationships/hyperlink" Target="https://github.com/sanjaymorankar-debug/ATIP-DEV/blob/master/docs/ATIP_MASTER_TRACKER.csv" TargetMode="External"/><Relationship Id="rId194" Type="http://schemas.openxmlformats.org/officeDocument/2006/relationships/hyperlink" Target="https://github.com/sanjaymorankar-debug/ATIP-DEV/blob/master/docs/ATIP_MASTER_TRACKER.csv" TargetMode="External"/><Relationship Id="rId195" Type="http://schemas.openxmlformats.org/officeDocument/2006/relationships/hyperlink" Target="https://github.com/sanjaymorankar-debug/ATIP-DEV/blob/master/docs/ATIP_MASTER_TRACKER.csv" TargetMode="External"/><Relationship Id="rId196" Type="http://schemas.openxmlformats.org/officeDocument/2006/relationships/hyperlink" Target="https://github.com/sanjaymorankar-debug/ATIP-DEV/blob/master/docs/ATIP_MASTER_TRACKER.csv" TargetMode="External"/><Relationship Id="rId197" Type="http://schemas.openxmlformats.org/officeDocument/2006/relationships/hyperlink" Target="https://github.com/sanjaymorankar-debug/ATIP-DEV/blob/master/docs/ATIP_MASTER_TRACKER.csv" TargetMode="External"/><Relationship Id="rId198" Type="http://schemas.openxmlformats.org/officeDocument/2006/relationships/hyperlink" Target="https://github.com/sanjaymorankar-debug/ATIP-DEV/blob/master/docs/ATIP_MASTER_TRACKER.csv" TargetMode="External"/><Relationship Id="rId199" Type="http://schemas.openxmlformats.org/officeDocument/2006/relationships/hyperlink" Target="https://github.com/sanjaymorankar-debug/ATIP-DEV/blob/master/docs/ATIP_MASTER_TRACKER.csv" TargetMode="External"/><Relationship Id="rId200" Type="http://schemas.openxmlformats.org/officeDocument/2006/relationships/hyperlink" Target="https://github.com/sanjaymorankar-debug/ATIP-DEV/blob/master/docs/ATIP_MASTER_TRACKER.csv" TargetMode="External"/><Relationship Id="rId201" Type="http://schemas.openxmlformats.org/officeDocument/2006/relationships/hyperlink" Target="https://github.com/sanjaymorankar-debug/ATIP-DEV/blob/master/docs/ATIP_MASTER_TRACKER.csv" TargetMode="External"/><Relationship Id="rId202" Type="http://schemas.openxmlformats.org/officeDocument/2006/relationships/hyperlink" Target="https://github.com/sanjaymorankar-debug/ATIP-DEV/blob/master/docs/ATIP_MASTER_TRACKER.csv" TargetMode="External"/><Relationship Id="rId203" Type="http://schemas.openxmlformats.org/officeDocument/2006/relationships/hyperlink" Target="https://github.com/sanjaymorankar-debug/ATIP-DEV/blob/master/docs/ATIP_MASTER_TRACKER.csv" TargetMode="External"/><Relationship Id="rId204" Type="http://schemas.openxmlformats.org/officeDocument/2006/relationships/hyperlink" Target="https://github.com/sanjaymorankar-debug/ATIP-DEV/blob/master/docs/ATIP_MASTER_TRACKER.csv" TargetMode="External"/><Relationship Id="rId205" Type="http://schemas.openxmlformats.org/officeDocument/2006/relationships/hyperlink" Target="https://github.com/sanjaymorankar-debug/ATIP-DEV/blob/master/docs/ATIP_MASTER_TRACKER.csv" TargetMode="External"/><Relationship Id="rId206" Type="http://schemas.openxmlformats.org/officeDocument/2006/relationships/hyperlink" Target="https://github.com/sanjaymorankar-debug/ATIP-DEV/blob/master/docs/ATIP_MASTER_TRACKER.csv" TargetMode="External"/><Relationship Id="rId207" Type="http://schemas.openxmlformats.org/officeDocument/2006/relationships/hyperlink" Target="https://github.com/sanjaymorankar-debug/ATIP-DEV/blob/master/docs/ATIP_MASTER_TRACKER.csv" TargetMode="External"/><Relationship Id="rId208" Type="http://schemas.openxmlformats.org/officeDocument/2006/relationships/hyperlink" Target="https://github.com/sanjaymorankar-debug/ATIP-DEV/blob/master/docs/ATIP_MASTER_TRACKER.csv" TargetMode="External"/><Relationship Id="rId209" Type="http://schemas.openxmlformats.org/officeDocument/2006/relationships/hyperlink" Target="https://github.com/sanjaymorankar-debug/ATIP-DEV/blob/master/docs/ATIP_MASTER_TRACKER.csv" TargetMode="External"/><Relationship Id="rId210" Type="http://schemas.openxmlformats.org/officeDocument/2006/relationships/hyperlink" Target="https://github.com/sanjaymorankar-debug/ATIP-DEV/blob/master/docs/ATIP_MASTER_TRACKER.csv" TargetMode="External"/><Relationship Id="rId211" Type="http://schemas.openxmlformats.org/officeDocument/2006/relationships/hyperlink" Target="https://github.com/sanjaymorankar-debug/ATIP-DEV/blob/master/docs/ATIP_MASTER_TRACKER.csv" TargetMode="External"/><Relationship Id="rId212" Type="http://schemas.openxmlformats.org/officeDocument/2006/relationships/hyperlink" Target="https://github.com/sanjaymorankar-debug/ATIP-DEV/blob/master/docs/ATIP_MASTER_TRACKER.csv" TargetMode="External"/><Relationship Id="rId213" Type="http://schemas.openxmlformats.org/officeDocument/2006/relationships/hyperlink" Target="https://github.com/sanjaymorankar-debug/ATIP-DEV/blob/master/docs/ATIP_MASTER_TRACKER.csv" TargetMode="External"/><Relationship Id="rId214" Type="http://schemas.openxmlformats.org/officeDocument/2006/relationships/hyperlink" Target="https://github.com/sanjaymorankar-debug/ATIP-DEV/blob/master/docs/ATIP_MASTER_TRACKER.csv" TargetMode="External"/><Relationship Id="rId215" Type="http://schemas.openxmlformats.org/officeDocument/2006/relationships/hyperlink" Target="https://github.com/sanjaymorankar-debug/ATIP-DEV/blob/master/docs/ATIP_MASTER_TRACKER.csv" TargetMode="External"/><Relationship Id="rId216" Type="http://schemas.openxmlformats.org/officeDocument/2006/relationships/hyperlink" Target="https://github.com/sanjaymorankar-debug/ATIP-DEV/blob/master/docs/ATIP_MASTER_TRACKER.csv" TargetMode="External"/><Relationship Id="rId217" Type="http://schemas.openxmlformats.org/officeDocument/2006/relationships/hyperlink" Target="https://github.com/sanjaymorankar-debug/ATIP-DEV/blob/master/docs/ATIP_MASTER_TRACKER.csv" TargetMode="External"/><Relationship Id="rId218" Type="http://schemas.openxmlformats.org/officeDocument/2006/relationships/hyperlink" Target="https://github.com/sanjaymorankar-debug/ATIP-DEV/blob/master/docs/ATIP_MASTER_TRACKER.csv" TargetMode="External"/><Relationship Id="rId219" Type="http://schemas.openxmlformats.org/officeDocument/2006/relationships/hyperlink" Target="https://github.com/sanjaymorankar-debug/ATIP-DEV/blob/master/docs/ATIP_MASTER_TRACKER.csv" TargetMode="External"/><Relationship Id="rId220" Type="http://schemas.openxmlformats.org/officeDocument/2006/relationships/hyperlink" Target="https://github.com/sanjaymorankar-debug/ATIP-DEV/blob/master/docs/ATIP_MASTER_TRACKER.csv" TargetMode="External"/><Relationship Id="rId221" Type="http://schemas.openxmlformats.org/officeDocument/2006/relationships/hyperlink" Target="https://github.com/sanjaymorankar-debug/ATIP-DEV/blob/master/docs/ATIP_MASTER_TRACKER.csv" TargetMode="External"/><Relationship Id="rId222" Type="http://schemas.openxmlformats.org/officeDocument/2006/relationships/hyperlink" Target="https://github.com/sanjaymorankar-debug/ATIP-DEV/blob/master/docs/ATIP_MASTER_TRACKER.csv" TargetMode="External"/><Relationship Id="rId223" Type="http://schemas.openxmlformats.org/officeDocument/2006/relationships/hyperlink" Target="https://github.com/sanjaymorankar-debug/ATIP-DEV/blob/master/docs/ATIP_MASTER_TRACKER.csv" TargetMode="External"/><Relationship Id="rId224" Type="http://schemas.openxmlformats.org/officeDocument/2006/relationships/hyperlink" Target="https://github.com/sanjaymorankar-debug/ATIP-DEV/blob/master/docs/ATIP_MASTER_TRACKER.csv" TargetMode="External"/><Relationship Id="rId225" Type="http://schemas.openxmlformats.org/officeDocument/2006/relationships/hyperlink" Target="https://github.com/sanjaymorankar-debug/ATIP-DEV/blob/master/docs/ATIP_MASTER_TRACKER.csv" TargetMode="External"/><Relationship Id="rId226" Type="http://schemas.openxmlformats.org/officeDocument/2006/relationships/hyperlink" Target="https://github.com/sanjaymorankar-debug/ATIP-DEV/blob/master/docs/ATIP_MASTER_TRACKER.csv" TargetMode="External"/><Relationship Id="rId227" Type="http://schemas.openxmlformats.org/officeDocument/2006/relationships/hyperlink" Target="https://github.com/sanjaymorankar-debug/ATIP-DEV/blob/master/docs/ATIP_MASTER_TRACKER.csv" TargetMode="External"/><Relationship Id="rId228" Type="http://schemas.openxmlformats.org/officeDocument/2006/relationships/hyperlink" Target="https://github.com/sanjaymorankar-debug/ATIP-DEV/blob/master/docs/ATIP_MASTER_TRACKER.csv" TargetMode="External"/><Relationship Id="rId229" Type="http://schemas.openxmlformats.org/officeDocument/2006/relationships/hyperlink" Target="https://github.com/sanjaymorankar-debug/ATIP-DEV/blob/master/docs/ATIP_MASTER_TRACKER.csv" TargetMode="External"/><Relationship Id="rId230" Type="http://schemas.openxmlformats.org/officeDocument/2006/relationships/hyperlink" Target="https://github.com/sanjaymorankar-debug/ATIP-DEV/blob/master/docs/ATIP_MASTER_TRACKER.csv" TargetMode="External"/><Relationship Id="rId231" Type="http://schemas.openxmlformats.org/officeDocument/2006/relationships/hyperlink" Target="https://github.com/sanjaymorankar-debug/ATIP-DEV/blob/master/docs/ATIP_MASTER_TRACKER.csv" TargetMode="External"/><Relationship Id="rId232" Type="http://schemas.openxmlformats.org/officeDocument/2006/relationships/hyperlink" Target="https://github.com/sanjaymorankar-debug/ATIP-DEV/blob/master/docs/ATIP_MASTER_TRACKER.csv" TargetMode="External"/><Relationship Id="rId233" Type="http://schemas.openxmlformats.org/officeDocument/2006/relationships/hyperlink" Target="https://github.com/sanjaymorankar-debug/ATIP-DEV/blob/master/docs/ATIP_MASTER_TRACKER.csv" TargetMode="External"/><Relationship Id="rId234" Type="http://schemas.openxmlformats.org/officeDocument/2006/relationships/hyperlink" Target="https://github.com/sanjaymorankar-debug/ATIP-DEV/blob/master/docs/ATIP_MASTER_TRACKER.csv" TargetMode="External"/><Relationship Id="rId235" Type="http://schemas.openxmlformats.org/officeDocument/2006/relationships/hyperlink" Target="https://github.com/sanjaymorankar-debug/ATIP-DEV/blob/master/docs/ATIP_MASTER_TRACKER.csv" TargetMode="External"/><Relationship Id="rId236" Type="http://schemas.openxmlformats.org/officeDocument/2006/relationships/hyperlink" Target="https://github.com/sanjaymorankar-debug/ATIP-DEV/blob/master/docs/ATIP_MASTER_TRACKER.csv" TargetMode="External"/><Relationship Id="rId237" Type="http://schemas.openxmlformats.org/officeDocument/2006/relationships/hyperlink" Target="https://github.com/sanjaymorankar-debug/ATIP-DEV/blob/master/docs/ATIP_MASTER_TRACKER.csv" TargetMode="External"/><Relationship Id="rId238" Type="http://schemas.openxmlformats.org/officeDocument/2006/relationships/hyperlink" Target="https://github.com/sanjaymorankar-debug/ATIP-DEV/blob/master/docs/ATIP_MASTER_TRACKER.csv" TargetMode="External"/><Relationship Id="rId239" Type="http://schemas.openxmlformats.org/officeDocument/2006/relationships/hyperlink" Target="https://github.com/sanjaymorankar-debug/ATIP-DEV/blob/master/docs/ATIP_MASTER_TRACKER.csv" TargetMode="External"/><Relationship Id="rId240" Type="http://schemas.openxmlformats.org/officeDocument/2006/relationships/hyperlink" Target="https://github.com/sanjaymorankar-debug/ATIP-DEV/blob/master/docs/ATIP_MASTER_TRACKER.csv" TargetMode="External"/><Relationship Id="rId241" Type="http://schemas.openxmlformats.org/officeDocument/2006/relationships/hyperlink" Target="https://github.com/sanjaymorankar-debug/ATIP-DEV/blob/master/docs/ATIP_MASTER_TRACKER.csv" TargetMode="External"/><Relationship Id="rId242" Type="http://schemas.openxmlformats.org/officeDocument/2006/relationships/hyperlink" Target="https://github.com/sanjaymorankar-debug/ATIP-DEV/blob/master/docs/ATIP_MASTER_TRACKER.csv" TargetMode="External"/><Relationship Id="rId243" Type="http://schemas.openxmlformats.org/officeDocument/2006/relationships/hyperlink" Target="https://github.com/sanjaymorankar-debug/ATIP-DEV/blob/master/docs/ATIP_MASTER_TRACKER.csv" TargetMode="External"/><Relationship Id="rId244" Type="http://schemas.openxmlformats.org/officeDocument/2006/relationships/hyperlink" Target="https://github.com/sanjaymorankar-debug/ATIP-DEV/blob/master/docs/ATIP_MASTER_TRACKER.csv" TargetMode="External"/><Relationship Id="rId245" Type="http://schemas.openxmlformats.org/officeDocument/2006/relationships/hyperlink" Target="https://github.com/sanjaymorankar-debug/ATIP-DEV/blob/master/docs/ATIP_MASTER_TRACKER.csv" TargetMode="External"/><Relationship Id="rId246" Type="http://schemas.openxmlformats.org/officeDocument/2006/relationships/hyperlink" Target="https://github.com/sanjaymorankar-debug/ATIP-DEV/blob/master/docs/ATIP_MASTER_TRACKER.csv" TargetMode="External"/><Relationship Id="rId247" Type="http://schemas.openxmlformats.org/officeDocument/2006/relationships/hyperlink" Target="https://github.com/sanjaymorankar-debug/ATIP-DEV/blob/master/docs/ATIP_MASTER_TRACKER.csv" TargetMode="External"/><Relationship Id="rId248" Type="http://schemas.openxmlformats.org/officeDocument/2006/relationships/hyperlink" Target="https://github.com/sanjaymorankar-debug/ATIP-DEV/blob/master/docs/ATIP_MASTER_TRACKER.csv" TargetMode="External"/><Relationship Id="rId249" Type="http://schemas.openxmlformats.org/officeDocument/2006/relationships/hyperlink" Target="https://github.com/sanjaymorankar-debug/ATIP-DEV/blob/master/docs/ATIP_MASTER_TRACKER.csv" TargetMode="External"/><Relationship Id="rId250" Type="http://schemas.openxmlformats.org/officeDocument/2006/relationships/hyperlink" Target="https://github.com/sanjaymorankar-debug/ATIP-DEV/blob/master/docs/ATIP_MASTER_TRACKER.csv" TargetMode="External"/><Relationship Id="rId251" Type="http://schemas.openxmlformats.org/officeDocument/2006/relationships/hyperlink" Target="https://github.com/sanjaymorankar-debug/ATIP-DEV/blob/master/docs/ATIP_MASTER_TRACKER.csv" TargetMode="External"/><Relationship Id="rId252" Type="http://schemas.openxmlformats.org/officeDocument/2006/relationships/hyperlink" Target="https://github.com/sanjaymorankar-debug/ATIP-DEV/blob/master/docs/ATIP_MASTER_TRACKER.csv" TargetMode="External"/><Relationship Id="rId253" Type="http://schemas.openxmlformats.org/officeDocument/2006/relationships/hyperlink" Target="https://github.com/sanjaymorankar-debug/ATIP-DEV/blob/master/docs/ATIP_MASTER_TRACKER.csv" TargetMode="External"/><Relationship Id="rId254" Type="http://schemas.openxmlformats.org/officeDocument/2006/relationships/hyperlink" Target="https://github.com/sanjaymorankar-debug/ATIP-DEV/blob/master/docs/ATIP_MASTER_TRACKER.csv" TargetMode="External"/><Relationship Id="rId255" Type="http://schemas.openxmlformats.org/officeDocument/2006/relationships/hyperlink" Target="https://github.com/sanjaymorankar-debug/ATIP-DEV/blob/master/docs/ATIP_MASTER_TRACKER.csv" TargetMode="External"/><Relationship Id="rId256" Type="http://schemas.openxmlformats.org/officeDocument/2006/relationships/hyperlink" Target="https://github.com/sanjaymorankar-debug/ATIP-DEV/blob/master/docs/ATIP_MASTER_TRACKER.csv" TargetMode="External"/><Relationship Id="rId257" Type="http://schemas.openxmlformats.org/officeDocument/2006/relationships/hyperlink" Target="https://github.com/sanjaymorankar-debug/ATIP-DEV/blob/master/docs/ATIP_MASTER_TRACKER.csv" TargetMode="External"/><Relationship Id="rId258" Type="http://schemas.openxmlformats.org/officeDocument/2006/relationships/hyperlink" Target="https://github.com/sanjaymorankar-debug/ATIP-DEV/blob/master/docs/ATIP_MASTER_TRACKER.csv" TargetMode="External"/><Relationship Id="rId259" Type="http://schemas.openxmlformats.org/officeDocument/2006/relationships/hyperlink" Target="https://github.com/sanjaymorankar-debug/ATIP-DEV/blob/master/docs/ATIP_MASTER_TRACKER.csv" TargetMode="External"/><Relationship Id="rId260" Type="http://schemas.openxmlformats.org/officeDocument/2006/relationships/hyperlink" Target="https://github.com/sanjaymorankar-debug/ATIP-DEV/blob/master/docs/ATIP_MASTER_TRACKER.csv" TargetMode="External"/><Relationship Id="rId261" Type="http://schemas.openxmlformats.org/officeDocument/2006/relationships/hyperlink" Target="https://github.com/sanjaymorankar-debug/ATIP-DEV/blob/master/docs/ATIP_MASTER_TRACKER.csv" TargetMode="External"/><Relationship Id="rId262" Type="http://schemas.openxmlformats.org/officeDocument/2006/relationships/hyperlink" Target="https://github.com/sanjaymorankar-debug/ATIP-DEV/blob/master/docs/ATIP_MASTER_TRACKER.csv" TargetMode="External"/><Relationship Id="rId263" Type="http://schemas.openxmlformats.org/officeDocument/2006/relationships/hyperlink" Target="https://github.com/sanjaymorankar-debug/ATIP-DEV/blob/master/docs/ATIP_MASTER_TRACKER.csv" TargetMode="External"/><Relationship Id="rId264" Type="http://schemas.openxmlformats.org/officeDocument/2006/relationships/hyperlink" Target="https://github.com/sanjaymorankar-debug/ATIP-DEV/blob/master/docs/ATIP_MASTER_TRACKER.csv" TargetMode="External"/><Relationship Id="rId265" Type="http://schemas.openxmlformats.org/officeDocument/2006/relationships/hyperlink" Target="https://github.com/sanjaymorankar-debug/ATIP-DEV/blob/master/docs/ATIP_MASTER_TRACKER.csv" TargetMode="External"/><Relationship Id="rId266" Type="http://schemas.openxmlformats.org/officeDocument/2006/relationships/hyperlink" Target="https://github.com/sanjaymorankar-debug/ATIP-DEV/blob/master/docs/ATIP_MASTER_TRACKER.csv" TargetMode="External"/><Relationship Id="rId267" Type="http://schemas.openxmlformats.org/officeDocument/2006/relationships/hyperlink" Target="https://github.com/sanjaymorankar-debug/ATIP-DEV/blob/master/docs/ATIP_MASTER_TRACKER.csv" TargetMode="External"/><Relationship Id="rId268" Type="http://schemas.openxmlformats.org/officeDocument/2006/relationships/hyperlink" Target="https://github.com/sanjaymorankar-debug/ATIP-DEV/blob/master/docs/ATIP_MASTER_TRACKER.csv" TargetMode="External"/><Relationship Id="rId269" Type="http://schemas.openxmlformats.org/officeDocument/2006/relationships/hyperlink" Target="https://github.com/sanjaymorankar-debug/ATIP-DEV/blob/master/docs/ATIP_MASTER_TRACKER.csv" TargetMode="External"/><Relationship Id="rId270" Type="http://schemas.openxmlformats.org/officeDocument/2006/relationships/hyperlink" Target="https://github.com/sanjaymorankar-debug/ATIP-DEV/blob/master/docs/ATIP_MASTER_TRACKER.csv" TargetMode="External"/><Relationship Id="rId271" Type="http://schemas.openxmlformats.org/officeDocument/2006/relationships/hyperlink" Target="https://github.com/sanjaymorankar-debug/ATIP-DEV/blob/master/docs/ATIP_MASTER_TRACKER.csv" TargetMode="External"/><Relationship Id="rId272" Type="http://schemas.openxmlformats.org/officeDocument/2006/relationships/hyperlink" Target="https://github.com/sanjaymorankar-debug/ATIP-DEV/blob/master/docs/ATIP_MASTER_TRACKER.csv" TargetMode="External"/><Relationship Id="rId273" Type="http://schemas.openxmlformats.org/officeDocument/2006/relationships/hyperlink" Target="https://github.com/sanjaymorankar-debug/ATIP-DEV/blob/master/docs/ATIP_MASTER_TRACKER.csv" TargetMode="External"/><Relationship Id="rId274" Type="http://schemas.openxmlformats.org/officeDocument/2006/relationships/hyperlink" Target="https://github.com/sanjaymorankar-debug/ATIP-DEV/blob/master/docs/ATIP_MASTER_TRACKER.csv" TargetMode="External"/><Relationship Id="rId275" Type="http://schemas.openxmlformats.org/officeDocument/2006/relationships/hyperlink" Target="https://github.com/sanjaymorankar-debug/ATIP-DEV/blob/master/docs/ATIP_MASTER_TRACKER.csv" TargetMode="External"/><Relationship Id="rId276" Type="http://schemas.openxmlformats.org/officeDocument/2006/relationships/hyperlink" Target="https://github.com/sanjaymorankar-debug/ATIP-DEV/blob/master/docs/ATIP_MASTER_TRACKER.csv" TargetMode="External"/><Relationship Id="rId277" Type="http://schemas.openxmlformats.org/officeDocument/2006/relationships/hyperlink" Target="https://github.com/sanjaymorankar-debug/ATIP-DEV/blob/master/docs/ATIP_MASTER_TRACKER.csv" TargetMode="External"/><Relationship Id="rId278" Type="http://schemas.openxmlformats.org/officeDocument/2006/relationships/hyperlink" Target="https://github.com/sanjaymorankar-debug/ATIP-DEV/blob/master/docs/ATIP_MASTER_TRACKER.csv" TargetMode="External"/><Relationship Id="rId279" Type="http://schemas.openxmlformats.org/officeDocument/2006/relationships/hyperlink" Target="https://github.com/sanjaymorankar-debug/ATIP-DEV/blob/master/docs/ATIP_MASTER_TRACKER.csv" TargetMode="External"/><Relationship Id="rId280" Type="http://schemas.openxmlformats.org/officeDocument/2006/relationships/hyperlink" Target="https://github.com/sanjaymorankar-debug/ATIP-DEV/blob/master/docs/ATIP_MASTER_TRACKER.csv" TargetMode="External"/><Relationship Id="rId281" Type="http://schemas.openxmlformats.org/officeDocument/2006/relationships/hyperlink" Target="https://github.com/sanjaymorankar-debug/ATIP-DEV/blob/master/docs/ATIP_MASTER_TRACKER.csv" TargetMode="External"/><Relationship Id="rId282" Type="http://schemas.openxmlformats.org/officeDocument/2006/relationships/hyperlink" Target="https://github.com/sanjaymorankar-debug/ATIP-DEV/blob/master/docs/ATIP_MASTER_TRACKER.csv" TargetMode="External"/><Relationship Id="rId283" Type="http://schemas.openxmlformats.org/officeDocument/2006/relationships/hyperlink" Target="https://github.com/sanjaymorankar-debug/ATIP-DEV/blob/master/docs/ATIP_MASTER_TRACKER.csv" TargetMode="External"/><Relationship Id="rId284" Type="http://schemas.openxmlformats.org/officeDocument/2006/relationships/hyperlink" Target="https://github.com/sanjaymorankar-debug/ATIP-DEV/blob/master/docs/ATIP_MASTER_TRACKER.csv" TargetMode="External"/><Relationship Id="rId285" Type="http://schemas.openxmlformats.org/officeDocument/2006/relationships/hyperlink" Target="https://github.com/sanjaymorankar-debug/ATIP-DEV/blob/master/docs/ATIP_MASTER_TRACKER.csv" TargetMode="External"/><Relationship Id="rId286" Type="http://schemas.openxmlformats.org/officeDocument/2006/relationships/hyperlink" Target="https://github.com/sanjaymorankar-debug/ATIP-DEV/blob/master/docs/ATIP_MASTER_TRACKER.csv" TargetMode="External"/><Relationship Id="rId287" Type="http://schemas.openxmlformats.org/officeDocument/2006/relationships/hyperlink" Target="https://github.com/sanjaymorankar-debug/ATIP-DEV/blob/master/docs/ATIP_MASTER_TRACKER.csv" TargetMode="External"/><Relationship Id="rId288" Type="http://schemas.openxmlformats.org/officeDocument/2006/relationships/hyperlink" Target="https://github.com/sanjaymorankar-debug/ATIP-DEV/blob/master/docs/ATIP_MASTER_TRACKER.csv" TargetMode="External"/><Relationship Id="rId289" Type="http://schemas.openxmlformats.org/officeDocument/2006/relationships/hyperlink" Target="https://github.com/sanjaymorankar-debug/ATIP-DEV/blob/master/docs/ATIP_MASTER_TRACKER.csv" TargetMode="External"/><Relationship Id="rId290" Type="http://schemas.openxmlformats.org/officeDocument/2006/relationships/hyperlink" Target="https://github.com/sanjaymorankar-debug/ATIP-DEV/blob/master/docs/ATIP_MASTER_TRACKER.csv" TargetMode="External"/><Relationship Id="rId291" Type="http://schemas.openxmlformats.org/officeDocument/2006/relationships/hyperlink" Target="https://github.com/sanjaymorankar-debug/ATIP-DEV/blob/master/docs/ATIP_MASTER_TRACKER.csv" TargetMode="External"/><Relationship Id="rId292" Type="http://schemas.openxmlformats.org/officeDocument/2006/relationships/hyperlink" Target="https://github.com/sanjaymorankar-debug/ATIP-DEV/blob/master/docs/ATIP_MASTER_TRACKER.csv" TargetMode="External"/><Relationship Id="rId293" Type="http://schemas.openxmlformats.org/officeDocument/2006/relationships/hyperlink" Target="https://github.com/sanjaymorankar-debug/ATIP-DEV/blob/master/docs/ATIP_MASTER_TRACKER.csv" TargetMode="External"/><Relationship Id="rId294" Type="http://schemas.openxmlformats.org/officeDocument/2006/relationships/hyperlink" Target="https://github.com/sanjaymorankar-debug/ATIP-DEV/blob/master/docs/ATIP_MASTER_TRACKER.csv" TargetMode="External"/><Relationship Id="rId295" Type="http://schemas.openxmlformats.org/officeDocument/2006/relationships/hyperlink" Target="https://github.com/sanjaymorankar-debug/ATIP-DEV/blob/master/docs/ATIP_MASTER_TRACKER.csv" TargetMode="External"/><Relationship Id="rId296" Type="http://schemas.openxmlformats.org/officeDocument/2006/relationships/hyperlink" Target="https://github.com/sanjaymorankar-debug/ATIP-DEV/blob/master/docs/ATIP_MASTER_TRACKER.csv" TargetMode="External"/><Relationship Id="rId297" Type="http://schemas.openxmlformats.org/officeDocument/2006/relationships/hyperlink" Target="https://github.com/sanjaymorankar-debug/ATIP-DEV/blob/master/docs/ATIP_MASTER_TRACKER.csv" TargetMode="External"/><Relationship Id="rId298" Type="http://schemas.openxmlformats.org/officeDocument/2006/relationships/hyperlink" Target="https://github.com/sanjaymorankar-debug/ATIP-DEV/blob/master/docs/ATIP_MASTER_TRACKER.csv" TargetMode="External"/><Relationship Id="rId299" Type="http://schemas.openxmlformats.org/officeDocument/2006/relationships/hyperlink" Target="https://github.com/sanjaymorankar-debug/ATIP-DEV/blob/master/docs/ATIP_MASTER_TRACKER.csv" TargetMode="External"/><Relationship Id="rId300" Type="http://schemas.openxmlformats.org/officeDocument/2006/relationships/hyperlink" Target="https://github.com/sanjaymorankar-debug/ATIP-DEV/blob/master/docs/ATIP_MASTER_TRACKER.csv" TargetMode="External"/><Relationship Id="rId301" Type="http://schemas.openxmlformats.org/officeDocument/2006/relationships/hyperlink" Target="https://github.com/sanjaymorankar-debug/ATIP-DEV/blob/master/docs/ATIP_MASTER_TRACKER.csv" TargetMode="External"/><Relationship Id="rId302" Type="http://schemas.openxmlformats.org/officeDocument/2006/relationships/hyperlink" Target="https://github.com/sanjaymorankar-debug/ATIP-DEV/blob/master/docs/ATIP_MASTER_TRACKER.csv" TargetMode="External"/><Relationship Id="rId303" Type="http://schemas.openxmlformats.org/officeDocument/2006/relationships/hyperlink" Target="https://github.com/sanjaymorankar-debug/ATIP-DEV/blob/master/docs/ATIP_MASTER_TRACKER.csv" TargetMode="External"/><Relationship Id="rId304" Type="http://schemas.openxmlformats.org/officeDocument/2006/relationships/hyperlink" Target="https://github.com/sanjaymorankar-debug/ATIP-DEV/blob/master/docs/ATIP_MASTER_TRACKER.csv" TargetMode="External"/><Relationship Id="rId305" Type="http://schemas.openxmlformats.org/officeDocument/2006/relationships/hyperlink" Target="https://github.com/sanjaymorankar-debug/ATIP-DEV/blob/master/docs/ATIP_MASTER_TRACKER.csv" TargetMode="External"/><Relationship Id="rId306" Type="http://schemas.openxmlformats.org/officeDocument/2006/relationships/hyperlink" Target="https://github.com/sanjaymorankar-debug/ATIP-DEV/blob/master/docs/ATIP_MASTER_TRACKER.csv" TargetMode="External"/><Relationship Id="rId307" Type="http://schemas.openxmlformats.org/officeDocument/2006/relationships/hyperlink" Target="https://github.com/sanjaymorankar-debug/ATIP-DEV/blob/master/docs/ATIP_MASTER_TRACKER.csv" TargetMode="External"/><Relationship Id="rId308" Type="http://schemas.openxmlformats.org/officeDocument/2006/relationships/hyperlink" Target="https://github.com/sanjaymorankar-debug/ATIP-DEV/blob/master/docs/ATIP_MASTER_TRACKER.csv" TargetMode="External"/><Relationship Id="rId309" Type="http://schemas.openxmlformats.org/officeDocument/2006/relationships/hyperlink" Target="https://github.com/sanjaymorankar-debug/ATIP-DEV/blob/master/docs/ATIP_MASTER_TRACKER.csv" TargetMode="External"/><Relationship Id="rId310" Type="http://schemas.openxmlformats.org/officeDocument/2006/relationships/hyperlink" Target="https://github.com/sanjaymorankar-debug/ATIP-DEV/blob/master/docs/ATIP_MASTER_TRACKER.csv" TargetMode="External"/><Relationship Id="rId311" Type="http://schemas.openxmlformats.org/officeDocument/2006/relationships/hyperlink" Target="https://github.com/sanjaymorankar-debug/ATIP-DEV/blob/master/docs/ATIP_MASTER_TRACKER.csv" TargetMode="External"/><Relationship Id="rId312" Type="http://schemas.openxmlformats.org/officeDocument/2006/relationships/hyperlink" Target="https://github.com/sanjaymorankar-debug/ATIP-DEV/blob/master/docs/ATIP_MASTER_TRACKER.csv" TargetMode="External"/><Relationship Id="rId313" Type="http://schemas.openxmlformats.org/officeDocument/2006/relationships/hyperlink" Target="https://github.com/sanjaymorankar-debug/ATIP-DEV/blob/master/docs/ATIP_MASTER_TRACKER.csv" TargetMode="External"/><Relationship Id="rId314" Type="http://schemas.openxmlformats.org/officeDocument/2006/relationships/hyperlink" Target="https://github.com/sanjaymorankar-debug/ATIP-DEV/blob/master/docs/ATIP_MASTER_TRACKER.csv" TargetMode="External"/><Relationship Id="rId315" Type="http://schemas.openxmlformats.org/officeDocument/2006/relationships/hyperlink" Target="https://github.com/sanjaymorankar-debug/ATIP-DEV/blob/master/docs/ATIP_MASTER_TRACKER.csv" TargetMode="External"/><Relationship Id="rId316" Type="http://schemas.openxmlformats.org/officeDocument/2006/relationships/hyperlink" Target="https://github.com/sanjaymorankar-debug/ATIP-DEV/blob/master/docs/ATIP_MASTER_TRACKER.csv" TargetMode="External"/><Relationship Id="rId317" Type="http://schemas.openxmlformats.org/officeDocument/2006/relationships/hyperlink" Target="https://github.com/sanjaymorankar-debug/ATIP-DEV/blob/master/docs/ATIP_MASTER_TRACKER.csv" TargetMode="External"/><Relationship Id="rId318" Type="http://schemas.openxmlformats.org/officeDocument/2006/relationships/hyperlink" Target="https://github.com/sanjaymorankar-debug/ATIP-DEV/blob/master/docs/ATIP_MASTER_TRACKER.csv" TargetMode="External"/><Relationship Id="rId319" Type="http://schemas.openxmlformats.org/officeDocument/2006/relationships/hyperlink" Target="https://github.com/sanjaymorankar-debug/ATIP-DEV/blob/master/docs/ATIP_MASTER_TRACKER.csv" TargetMode="External"/><Relationship Id="rId320" Type="http://schemas.openxmlformats.org/officeDocument/2006/relationships/hyperlink" Target="https://github.com/sanjaymorankar-debug/ATIP-DEV/blob/master/docs/ATIP_MASTER_TRACKER.csv" TargetMode="External"/><Relationship Id="rId321" Type="http://schemas.openxmlformats.org/officeDocument/2006/relationships/hyperlink" Target="https://github.com/sanjaymorankar-debug/ATIP-DEV/blob/master/docs/ATIP_MASTER_TRACKER.csv" TargetMode="External"/><Relationship Id="rId322" Type="http://schemas.openxmlformats.org/officeDocument/2006/relationships/hyperlink" Target="https://github.com/sanjaymorankar-debug/ATIP-DEV/blob/master/docs/ATIP_MASTER_TRACKER.csv" TargetMode="External"/><Relationship Id="rId323" Type="http://schemas.openxmlformats.org/officeDocument/2006/relationships/hyperlink" Target="https://github.com/sanjaymorankar-debug/ATIP-DEV/blob/master/docs/ATIP_MASTER_TRACKER.csv" TargetMode="External"/><Relationship Id="rId324" Type="http://schemas.openxmlformats.org/officeDocument/2006/relationships/hyperlink" Target="https://github.com/sanjaymorankar-debug/ATIP-DEV/blob/master/docs/ATIP_MASTER_TRACKER.csv" TargetMode="External"/><Relationship Id="rId325" Type="http://schemas.openxmlformats.org/officeDocument/2006/relationships/hyperlink" Target="https://github.com/sanjaymorankar-debug/ATIP-DEV/blob/master/docs/ATIP_MASTER_TRACKER.csv" TargetMode="External"/><Relationship Id="rId326" Type="http://schemas.openxmlformats.org/officeDocument/2006/relationships/hyperlink" Target="https://github.com/sanjaymorankar-debug/ATIP-DEV/blob/master/docs/ATIP_MASTER_TRACKER.csv" TargetMode="External"/><Relationship Id="rId327" Type="http://schemas.openxmlformats.org/officeDocument/2006/relationships/hyperlink" Target="https://github.com/sanjaymorankar-debug/ATIP-DEV/blob/master/docs/ATIP_MASTER_TRACKER.csv" TargetMode="External"/><Relationship Id="rId328" Type="http://schemas.openxmlformats.org/officeDocument/2006/relationships/hyperlink" Target="https://github.com/sanjaymorankar-debug/ATIP-DEV/blob/master/docs/ATIP_MASTER_TRACKER.csv" TargetMode="External"/><Relationship Id="rId329" Type="http://schemas.openxmlformats.org/officeDocument/2006/relationships/hyperlink" Target="https://github.com/sanjaymorankar-debug/ATIP-DEV/blob/master/docs/ATIP_MASTER_TRACKER.csv" TargetMode="External"/><Relationship Id="rId330" Type="http://schemas.openxmlformats.org/officeDocument/2006/relationships/hyperlink" Target="https://github.com/sanjaymorankar-debug/ATIP-DEV/blob/master/docs/ATIP_MASTER_TRACKER.csv" TargetMode="External"/><Relationship Id="rId331" Type="http://schemas.openxmlformats.org/officeDocument/2006/relationships/hyperlink" Target="https://github.com/sanjaymorankar-debug/ATIP-DEV/blob/master/docs/ATIP_MASTER_TRACKER.csv" TargetMode="External"/><Relationship Id="rId332" Type="http://schemas.openxmlformats.org/officeDocument/2006/relationships/hyperlink" Target="https://github.com/sanjaymorankar-debug/ATIP-DEV/pull/8" TargetMode="External"/><Relationship Id="rId333" Type="http://schemas.openxmlformats.org/officeDocument/2006/relationships/hyperlink" Target="https://github.com/sanjaymorankar-debug/ATIP-DEV/pull/1" TargetMode="External"/><Relationship Id="rId334" Type="http://schemas.openxmlformats.org/officeDocument/2006/relationships/hyperlink" Target="https://github.com/sanjaymorankar-debug/ATIP-DEV/pull/1" TargetMode="External"/><Relationship Id="rId335" Type="http://schemas.openxmlformats.org/officeDocument/2006/relationships/hyperlink" Target="https://github.com/sanjaymorankar-debug/ATIP-DEV/pull/2" TargetMode="External"/><Relationship Id="rId336" Type="http://schemas.openxmlformats.org/officeDocument/2006/relationships/hyperlink" Target="https://github.com/sanjaymorankar-debug/ATIP-DEV/pull/6" TargetMode="External"/><Relationship Id="rId337" Type="http://schemas.openxmlformats.org/officeDocument/2006/relationships/hyperlink" Target="https://github.com/sanjaymorankar-debug/ATIP-DEV/pull/7" TargetMode="External"/><Relationship Id="rId338" Type="http://schemas.openxmlformats.org/officeDocument/2006/relationships/hyperlink" Target="https://github.com/sanjaymorankar-debug/bkesari/pull/2" TargetMode="External"/><Relationship Id="rId339" Type="http://schemas.openxmlformats.org/officeDocument/2006/relationships/hyperlink" Target="https://github.com/sanjaymorankar-debug/bkesari/pull/4" TargetMode="External"/><Relationship Id="rId340" Type="http://schemas.openxmlformats.org/officeDocument/2006/relationships/hyperlink" Target="https://github.com/sanjaymorankar-debug/bkesari/pull/4" TargetMode="External"/><Relationship Id="rId341" Type="http://schemas.openxmlformats.org/officeDocument/2006/relationships/hyperlink" Target="https://github.com/sanjaymorankar-debug/bkesari/pull/4" TargetMode="External"/><Relationship Id="rId342" Type="http://schemas.openxmlformats.org/officeDocument/2006/relationships/hyperlink" Target="https://github.com/sanjaymorankar-debug/bkesari/pull/4" TargetMode="External"/><Relationship Id="rId343" Type="http://schemas.openxmlformats.org/officeDocument/2006/relationships/hyperlink" Target="https://github.com/sanjaymorankar-debug/bkesari/pull/4" TargetMode="External"/><Relationship Id="rId344" Type="http://schemas.openxmlformats.org/officeDocument/2006/relationships/hyperlink" Target="https://github.com/sanjaymorankar-debug/bkesari/pull/4" TargetMode="External"/><Relationship Id="rId345" Type="http://schemas.openxmlformats.org/officeDocument/2006/relationships/hyperlink" Target="https://github.com/sanjaymorankar-debug/bkesari/pull/4" TargetMode="External"/><Relationship Id="rId346" Type="http://schemas.openxmlformats.org/officeDocument/2006/relationships/hyperlink" Target="https://github.com/sanjaymorankar-debug/bkesari/pull/4" TargetMode="External"/><Relationship Id="rId347" Type="http://schemas.openxmlformats.org/officeDocument/2006/relationships/hyperlink" Target="https://github.com/sanjaymorankar-debug/bkesari/pull/5" TargetMode="External"/><Relationship Id="rId348" Type="http://schemas.openxmlformats.org/officeDocument/2006/relationships/hyperlink" Target="https://github.com/sanjaymorankar-debug/bkesari/pull/6" TargetMode="External"/><Relationship Id="rId349" Type="http://schemas.openxmlformats.org/officeDocument/2006/relationships/hyperlink" Target="https://github.com/sanjaymorankar-debug/bkesari/pull/7" TargetMode="External"/><Relationship Id="rId350" Type="http://schemas.openxmlformats.org/officeDocument/2006/relationships/hyperlink" Target="https://github.com/sanjaymorankar-debug/bkesari/commit/0f86b01" TargetMode="External"/><Relationship Id="rId351" Type="http://schemas.openxmlformats.org/officeDocument/2006/relationships/hyperlink" Target="https://github.com/sanjaymorankar-debug/bkesari/commit/04f34f2" TargetMode="External"/><Relationship Id="rId352" Type="http://schemas.openxmlformats.org/officeDocument/2006/relationships/hyperlink" Target="https://github.com/sanjaymorankar-debug/bkesari/commit/c3f106d" TargetMode="External"/><Relationship Id="rId353" Type="http://schemas.openxmlformats.org/officeDocument/2006/relationships/hyperlink" Target="https://github.com/sanjaymorankar-debug/bkesari/commit/e6ee64d" TargetMode="External"/><Relationship Id="rId354" Type="http://schemas.openxmlformats.org/officeDocument/2006/relationships/hyperlink" Target="https://github.com/sanjaymorankar-debug/bkesari/commit/89960a6" TargetMode="External"/><Relationship Id="rId355" Type="http://schemas.openxmlformats.org/officeDocument/2006/relationships/hyperlink" Target="https://github.com/sanjaymorankar-debug/bkesari/commit/ef465f6" TargetMode="External"/><Relationship Id="rId356" Type="http://schemas.openxmlformats.org/officeDocument/2006/relationships/hyperlink" Target="https://github.com/sanjaymorankar-debug/bkesari/commit/e40d6e4" TargetMode="External"/><Relationship Id="rId357" Type="http://schemas.openxmlformats.org/officeDocument/2006/relationships/hyperlink" Target="https://github.com/sanjaymorankar-debug/bkesari/commit/8710759" TargetMode="External"/><Relationship Id="rId358" Type="http://schemas.openxmlformats.org/officeDocument/2006/relationships/hyperlink" Target="https://github.com/sanjaymorankar-debug/bkesari/commit/59411c7" TargetMode="External"/><Relationship Id="rId359" Type="http://schemas.openxmlformats.org/officeDocument/2006/relationships/hyperlink" Target="https://github.com/sanjaymorankar-debug/bkesari/commit/7d15d86" TargetMode="External"/><Relationship Id="rId360" Type="http://schemas.openxmlformats.org/officeDocument/2006/relationships/hyperlink" Target="https://github.com/sanjaymorankar-debug/bkesari/commit/64ab175" TargetMode="External"/><Relationship Id="rId361" Type="http://schemas.openxmlformats.org/officeDocument/2006/relationships/hyperlink" Target="https://github.com/sanjaymorankar-debug/bkesari/commit/9f7b290" TargetMode="External"/><Relationship Id="rId362" Type="http://schemas.openxmlformats.org/officeDocument/2006/relationships/hyperlink" Target="https://github.com/sanjaymorankar-debug/bkesari/pull/8" TargetMode="External"/><Relationship Id="rId363" Type="http://schemas.openxmlformats.org/officeDocument/2006/relationships/hyperlink" Target="https://github.com/sanjaymorankar-debug/bkesari/pull/11" TargetMode="External"/><Relationship Id="rId364" Type="http://schemas.openxmlformats.org/officeDocument/2006/relationships/hyperlink" Target="https://github.com/sanjaymorankar-debug/bkesari/pull/9" TargetMode="External"/><Relationship Id="rId365" Type="http://schemas.openxmlformats.org/officeDocument/2006/relationships/hyperlink" Target="https://github.com/sanjaymorankar-debug/bkesari/pull/9" TargetMode="External"/><Relationship Id="rId366" Type="http://schemas.openxmlformats.org/officeDocument/2006/relationships/hyperlink" Target="https://github.com/sanjaymorankar-debug/bkesari/pull/9" TargetMode="External"/><Relationship Id="rId367" Type="http://schemas.openxmlformats.org/officeDocument/2006/relationships/hyperlink" Target="https://github.com/sanjaymorankar-debug/bkesari/pull/10" TargetMode="External"/><Relationship Id="rId368" Type="http://schemas.openxmlformats.org/officeDocument/2006/relationships/hyperlink" Target="https://github.com/sanjaymorankar-debug/bkesari/pull/13" TargetMode="External"/><Relationship Id="rId369" Type="http://schemas.openxmlformats.org/officeDocument/2006/relationships/hyperlink" Target="https://github.com/sanjaymorankar-debug/bkesari/pull/12" TargetMode="External"/><Relationship Id="rId370" Type="http://schemas.openxmlformats.org/officeDocument/2006/relationships/hyperlink" Target="https://github.com/sanjaymorankar-debug/bkesari/pull/14" TargetMode="External"/><Relationship Id="rId371" Type="http://schemas.openxmlformats.org/officeDocument/2006/relationships/hyperlink" Target="https://github.com/sanjaymorankar-debug/bkesari-platform/commit/8f5356b" TargetMode="External"/><Relationship Id="rId372" Type="http://schemas.openxmlformats.org/officeDocument/2006/relationships/hyperlink" Target="https://github.com/sanjaymorankar-debug/bkesari-platform/commit/8f5356b" TargetMode="External"/><Relationship Id="rId373" Type="http://schemas.openxmlformats.org/officeDocument/2006/relationships/hyperlink" Target="https://github.com/sanjaymorankar-debug/bkesari-platform/commit/4e864ef" TargetMode="External"/><Relationship Id="rId374" Type="http://schemas.openxmlformats.org/officeDocument/2006/relationships/hyperlink" Target="https://github.com/sanjaymorankar-debug/bkesari-platform/commit/8f5356b" TargetMode="External"/><Relationship Id="rId375" Type="http://schemas.openxmlformats.org/officeDocument/2006/relationships/hyperlink" Target="https://github.com/sanjaymorankar-debug/bkesari-platform/commit/69c012b" TargetMode="External"/><Relationship Id="rId376" Type="http://schemas.openxmlformats.org/officeDocument/2006/relationships/hyperlink" Target="https://github.com/sanjaymorankar-debug/bkesari-platform/commit/62b88a6" TargetMode="External"/><Relationship Id="rId377" Type="http://schemas.openxmlformats.org/officeDocument/2006/relationships/hyperlink" Target="https://github.com/sanjaymorankar-debug/bkesari-platform/commit/aeb7336" TargetMode="External"/><Relationship Id="rId378" Type="http://schemas.openxmlformats.org/officeDocument/2006/relationships/hyperlink" Target="https://github.com/sanjaymorankar-debug/bkesari-platform/commit/87fd505" TargetMode="External"/><Relationship Id="rId379" Type="http://schemas.openxmlformats.org/officeDocument/2006/relationships/hyperlink" Target="https://github.com/sanjaymorankar-debug/bkesari-platform/commit/f37140e" TargetMode="External"/><Relationship Id="rId380" Type="http://schemas.openxmlformats.org/officeDocument/2006/relationships/hyperlink" Target="https://github.com/sanjaymorankar-debug/bkesari-platform/pull/1" TargetMode="External"/><Relationship Id="rId381" Type="http://schemas.openxmlformats.org/officeDocument/2006/relationships/hyperlink" Target="https://github.com/sanjaymorankar-debug/bkesari-platform/pull/1" TargetMode="External"/><Relationship Id="rId382" Type="http://schemas.openxmlformats.org/officeDocument/2006/relationships/hyperlink" Target="https://github.com/sanjaymorankar-debug/bkesari-platform/pull/1" TargetMode="External"/><Relationship Id="rId383" Type="http://schemas.openxmlformats.org/officeDocument/2006/relationships/hyperlink" Target="https://github.com/sanjaymorankar-debug/bkesari-platform/pull/1" TargetMode="External"/><Relationship Id="rId384" Type="http://schemas.openxmlformats.org/officeDocument/2006/relationships/hyperlink" Target="https://github.com/sanjaymorankar-debug/bkesari-platform/pull/2" TargetMode="External"/><Relationship Id="rId385" Type="http://schemas.openxmlformats.org/officeDocument/2006/relationships/hyperlink" Target="https://github.com/sanjaymorankar-debug/bkesari-platform/pull/2" TargetMode="External"/><Relationship Id="rId386" Type="http://schemas.openxmlformats.org/officeDocument/2006/relationships/hyperlink" Target="https://github.com/sanjaymorankar-debug/bkesari-platform/pull/2" TargetMode="External"/><Relationship Id="rId387" Type="http://schemas.openxmlformats.org/officeDocument/2006/relationships/hyperlink" Target="https://github.com/sanjaymorankar-debug/bkesari-platform/pull/2" TargetMode="External"/><Relationship Id="rId388" Type="http://schemas.openxmlformats.org/officeDocument/2006/relationships/hyperlink" Target="https://github.com/sanjaymorankar-debug/bkesari-platform/pull/2" TargetMode="External"/><Relationship Id="rId389" Type="http://schemas.openxmlformats.org/officeDocument/2006/relationships/hyperlink" Target="https://github.com/sanjaymorankar-debug/bkesari-platform/pull/5" TargetMode="External"/><Relationship Id="rId390" Type="http://schemas.openxmlformats.org/officeDocument/2006/relationships/hyperlink" Target="https://github.com/sanjaymorankar-debug/bkesari-platform/pull/3" TargetMode="External"/><Relationship Id="rId391" Type="http://schemas.openxmlformats.org/officeDocument/2006/relationships/hyperlink" Target="https://github.com/sanjaymorankar-debug/bkesari-platform/pull/4" TargetMode="External"/><Relationship Id="rId392" Type="http://schemas.openxmlformats.org/officeDocument/2006/relationships/hyperlink" Target="https://github.com/sanjaymorankar-debug/bkesari-platform/commit/e33e4cc" TargetMode="External"/><Relationship Id="rId393" Type="http://schemas.openxmlformats.org/officeDocument/2006/relationships/hyperlink" Target="https://github.com/sanjaymorankar-debug/bkesari-platform/commit/1606f39" TargetMode="External"/><Relationship Id="rId394" Type="http://schemas.openxmlformats.org/officeDocument/2006/relationships/hyperlink" Target="https://github.com/sanjaymorankar-debug/bkesari-platform/commit/fe1a321" TargetMode="External"/><Relationship Id="rId395" Type="http://schemas.openxmlformats.org/officeDocument/2006/relationships/hyperlink" Target="https://github.com/sanjaymorankar-debug/bkesari-platform/commit/5598b92" TargetMode="External"/><Relationship Id="rId396" Type="http://schemas.openxmlformats.org/officeDocument/2006/relationships/hyperlink" Target="https://github.com/sanjaymorankar-debug/bkesari-platform/blob/main/edu/ROADMAP.md" TargetMode="External"/><Relationship Id="rId397" Type="http://schemas.openxmlformats.org/officeDocument/2006/relationships/hyperlink" Target="https://github.com/sanjaymorankar-debug/bkesari-platform/commit/7e2c9da" TargetMode="External"/><Relationship Id="rId398" Type="http://schemas.openxmlformats.org/officeDocument/2006/relationships/hyperlink" Target="https://github.com/sanjaymorankar-debug/bkesari-platform/blob/main/edu/ROADMAP.md" TargetMode="External"/><Relationship Id="rId399" Type="http://schemas.openxmlformats.org/officeDocument/2006/relationships/hyperlink" Target="https://github.com/sanjaymorankar-debug/bkesari-platform/commit/37eb766" TargetMode="External"/><Relationship Id="rId400" Type="http://schemas.openxmlformats.org/officeDocument/2006/relationships/hyperlink" Target="https://github.com/sanjaymorankar-debug/bkesari-platform/blob/main/edu/ROADMAP.md" TargetMode="External"/><Relationship Id="rId401" Type="http://schemas.openxmlformats.org/officeDocument/2006/relationships/hyperlink" Target="https://github.com/sanjaymorankar-debug/bkesari-platform/blob/main/edu/ROADMAP.md" TargetMode="External"/><Relationship Id="rId402" Type="http://schemas.openxmlformats.org/officeDocument/2006/relationships/hyperlink" Target="https://github.com/sanjaymorankar-debug/bkesari-platform/blob/main/edu/ROADMAP.md" TargetMode="External"/><Relationship Id="rId403" Type="http://schemas.openxmlformats.org/officeDocument/2006/relationships/hyperlink" Target="https://github.com/sanjaymorankar-debug/bkesari-platform/blob/main/edu/ROADMAP.md" TargetMode="External"/><Relationship Id="rId404" Type="http://schemas.openxmlformats.org/officeDocument/2006/relationships/hyperlink" Target="https://github.com/sanjaymorankar-debug/bkesari-platform/commit/54cc817" TargetMode="External"/><Relationship Id="rId405" Type="http://schemas.openxmlformats.org/officeDocument/2006/relationships/hyperlink" Target="https://github.com/sanjaymorankar-debug/bkesari-platform/commit/50ee343" TargetMode="External"/><Relationship Id="rId406" Type="http://schemas.openxmlformats.org/officeDocument/2006/relationships/hyperlink" Target="https://github.com/sanjaymorankar-debug/bkesari-platform/blob/main/edu/ROADMAP.md" TargetMode="External"/><Relationship Id="rId407" Type="http://schemas.openxmlformats.org/officeDocument/2006/relationships/hyperlink" Target="https://github.com/sanjaymorankar-debug/bkesari-platform/commit/22c5f7c" TargetMode="External"/><Relationship Id="rId408" Type="http://schemas.openxmlformats.org/officeDocument/2006/relationships/hyperlink" Target="https://github.com/sanjaymorankar-debug/bkesari-platform/commit/f0b8b28" TargetMode="External"/><Relationship Id="rId409" Type="http://schemas.openxmlformats.org/officeDocument/2006/relationships/hyperlink" Target="https://github.com/sanjaymorankar-debug/bkesari-platform/commit/37f8d0f" TargetMode="External"/><Relationship Id="rId410" Type="http://schemas.openxmlformats.org/officeDocument/2006/relationships/hyperlink" Target="https://github.com/sanjaymorankar-debug/bkesari-platform/commit/04195e0" TargetMode="External"/><Relationship Id="rId411" Type="http://schemas.openxmlformats.org/officeDocument/2006/relationships/hyperlink" Target="https://github.com/sanjaymorankar-debug/bkesari-platform/blob/main/edu/ROADMAP.md" TargetMode="External"/><Relationship Id="rId412" Type="http://schemas.openxmlformats.org/officeDocument/2006/relationships/hyperlink" Target="https://github.com/sanjaymorankar-debug/bkesari-platform/blob/main/edu/ROADMAP.md" TargetMode="External"/><Relationship Id="rId413" Type="http://schemas.openxmlformats.org/officeDocument/2006/relationships/hyperlink" Target="https://github.com/sanjaymorankar-debug/bkesari-platform/commit/a1793dd" TargetMode="External"/><Relationship Id="rId414" Type="http://schemas.openxmlformats.org/officeDocument/2006/relationships/hyperlink" Target="https://github.com/sanjaymorankar-debug/bkesari-platform/commit/79b24ff" TargetMode="External"/><Relationship Id="rId415" Type="http://schemas.openxmlformats.org/officeDocument/2006/relationships/hyperlink" Target="https://github.com/sanjaymorankar-debug/bkesari-platform/blob/main/edu/ROADMAP.md" TargetMode="External"/><Relationship Id="rId416" Type="http://schemas.openxmlformats.org/officeDocument/2006/relationships/hyperlink" Target="https://github.com/sanjaymorankar-debug/bkesari-platform/commit/7024cd6" TargetMode="External"/><Relationship Id="rId417" Type="http://schemas.openxmlformats.org/officeDocument/2006/relationships/hyperlink" Target="https://github.com/sanjaymorankar-debug/bkesari-platform/blob/main/edu/ROADMAP.md" TargetMode="External"/><Relationship Id="rId418" Type="http://schemas.openxmlformats.org/officeDocument/2006/relationships/hyperlink" Target="https://github.com/sanjaymorankar-debug/bkesari-platform/commit/41789d7" TargetMode="External"/><Relationship Id="rId419" Type="http://schemas.openxmlformats.org/officeDocument/2006/relationships/hyperlink" Target="https://github.com/sanjaymorankar-debug/bkesari-platform/commit/084066e" TargetMode="External"/><Relationship Id="rId420" Type="http://schemas.openxmlformats.org/officeDocument/2006/relationships/hyperlink" Target="https://github.com/sanjaymorankar-debug/bkesari-platform/commit/fe1cba1" TargetMode="External"/><Relationship Id="rId421" Type="http://schemas.openxmlformats.org/officeDocument/2006/relationships/hyperlink" Target="https://github.com/sanjaymorankar-debug/bkesari-platform/commit/13cc956" TargetMode="External"/><Relationship Id="rId422" Type="http://schemas.openxmlformats.org/officeDocument/2006/relationships/hyperlink" Target="https://github.com/sanjaymorankar-debug/bkesari-platform/blob/main/edu/ROADMAP.md" TargetMode="External"/><Relationship Id="rId423"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github.com/sanjaymorankar-debug/ATIP-DEV/pull/8" TargetMode="External"/><Relationship Id="rId2" Type="http://schemas.openxmlformats.org/officeDocument/2006/relationships/hyperlink" Target="https://github.com/sanjaymorankar-debug/ATIP-DEV/pull/7" TargetMode="External"/><Relationship Id="rId3" Type="http://schemas.openxmlformats.org/officeDocument/2006/relationships/hyperlink" Target="https://github.com/sanjaymorankar-debug/ATIP-DEV/pull/6" TargetMode="External"/><Relationship Id="rId4" Type="http://schemas.openxmlformats.org/officeDocument/2006/relationships/hyperlink" Target="https://github.com/sanjaymorankar-debug/ATIP-DEV/pull/5" TargetMode="External"/><Relationship Id="rId5" Type="http://schemas.openxmlformats.org/officeDocument/2006/relationships/hyperlink" Target="https://github.com/sanjaymorankar-debug/ATIP-DEV/pull/4" TargetMode="External"/><Relationship Id="rId6" Type="http://schemas.openxmlformats.org/officeDocument/2006/relationships/hyperlink" Target="https://github.com/sanjaymorankar-debug/ATIP-DEV/pull/3" TargetMode="External"/><Relationship Id="rId7" Type="http://schemas.openxmlformats.org/officeDocument/2006/relationships/hyperlink" Target="https://github.com/sanjaymorankar-debug/ATIP-DEV/pull/2" TargetMode="External"/><Relationship Id="rId8" Type="http://schemas.openxmlformats.org/officeDocument/2006/relationships/hyperlink" Target="https://github.com/sanjaymorankar-debug/ATIP-DEV/pull/1" TargetMode="External"/><Relationship Id="rId9" Type="http://schemas.openxmlformats.org/officeDocument/2006/relationships/hyperlink" Target="https://github.com/sanjaymorankar-debug/bkesari/pull/12" TargetMode="External"/><Relationship Id="rId10" Type="http://schemas.openxmlformats.org/officeDocument/2006/relationships/hyperlink" Target="https://github.com/sanjaymorankar-debug/bkesari/pull/14" TargetMode="External"/><Relationship Id="rId11" Type="http://schemas.openxmlformats.org/officeDocument/2006/relationships/hyperlink" Target="https://github.com/sanjaymorankar-debug/bkesari/pull/13" TargetMode="External"/><Relationship Id="rId12" Type="http://schemas.openxmlformats.org/officeDocument/2006/relationships/hyperlink" Target="https://github.com/sanjaymorankar-debug/bkesari/pull/11" TargetMode="External"/><Relationship Id="rId13" Type="http://schemas.openxmlformats.org/officeDocument/2006/relationships/hyperlink" Target="https://github.com/sanjaymorankar-debug/bkesari/pull/10" TargetMode="External"/><Relationship Id="rId14" Type="http://schemas.openxmlformats.org/officeDocument/2006/relationships/hyperlink" Target="https://github.com/sanjaymorankar-debug/bkesari/pull/9" TargetMode="External"/><Relationship Id="rId15" Type="http://schemas.openxmlformats.org/officeDocument/2006/relationships/hyperlink" Target="https://github.com/sanjaymorankar-debug/bkesari/pull/8" TargetMode="External"/><Relationship Id="rId16" Type="http://schemas.openxmlformats.org/officeDocument/2006/relationships/hyperlink" Target="https://github.com/sanjaymorankar-debug/bkesari/pull/7" TargetMode="External"/><Relationship Id="rId17" Type="http://schemas.openxmlformats.org/officeDocument/2006/relationships/hyperlink" Target="https://github.com/sanjaymorankar-debug/bkesari/pull/6" TargetMode="External"/><Relationship Id="rId18" Type="http://schemas.openxmlformats.org/officeDocument/2006/relationships/hyperlink" Target="https://github.com/sanjaymorankar-debug/bkesari/pull/5" TargetMode="External"/><Relationship Id="rId19" Type="http://schemas.openxmlformats.org/officeDocument/2006/relationships/hyperlink" Target="https://github.com/sanjaymorankar-debug/bkesari/pull/4" TargetMode="External"/><Relationship Id="rId20" Type="http://schemas.openxmlformats.org/officeDocument/2006/relationships/hyperlink" Target="https://github.com/sanjaymorankar-debug/bkesari/pull/3" TargetMode="External"/><Relationship Id="rId21" Type="http://schemas.openxmlformats.org/officeDocument/2006/relationships/hyperlink" Target="https://github.com/sanjaymorankar-debug/bkesari/pull/2" TargetMode="External"/><Relationship Id="rId22" Type="http://schemas.openxmlformats.org/officeDocument/2006/relationships/hyperlink" Target="https://github.com/sanjaymorankar-debug/bkesari/pull/1" TargetMode="External"/><Relationship Id="rId23" Type="http://schemas.openxmlformats.org/officeDocument/2006/relationships/hyperlink" Target="https://github.com/sanjaymorankar-debug/bkesari-platform/pull/5" TargetMode="External"/><Relationship Id="rId24" Type="http://schemas.openxmlformats.org/officeDocument/2006/relationships/hyperlink" Target="https://github.com/sanjaymorankar-debug/bkesari-platform/pull/4" TargetMode="External"/><Relationship Id="rId25" Type="http://schemas.openxmlformats.org/officeDocument/2006/relationships/hyperlink" Target="https://github.com/sanjaymorankar-debug/bkesari-platform/pull/3" TargetMode="External"/><Relationship Id="rId26" Type="http://schemas.openxmlformats.org/officeDocument/2006/relationships/hyperlink" Target="https://github.com/sanjaymorankar-debug/bkesari-platform/pull/2" TargetMode="External"/><Relationship Id="rId27" Type="http://schemas.openxmlformats.org/officeDocument/2006/relationships/hyperlink" Target="https://github.com/sanjaymorankar-debug/bkesari-platform/pull/1" TargetMode="External"/><Relationship Id="rId28"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4" min="3" style="0" width="12"/>
    <col collapsed="false" customWidth="true" hidden="false" outlineLevel="0" max="5" min="5" style="0" width="14"/>
    <col collapsed="false" customWidth="true" hidden="false" outlineLevel="0" max="7" min="6" style="0" width="40"/>
    <col collapsed="false" customWidth="true" hidden="false" outlineLevel="0" max="12" min="8"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t="s">
        <v>4</v>
      </c>
      <c r="C5" s="4" t="s">
        <v>5</v>
      </c>
      <c r="D5" s="4" t="s">
        <v>6</v>
      </c>
      <c r="E5" s="4" t="s">
        <v>7</v>
      </c>
      <c r="F5" s="4" t="s">
        <v>8</v>
      </c>
      <c r="G5" s="4" t="s">
        <v>9</v>
      </c>
    </row>
    <row r="6" customFormat="false" ht="35.05" hidden="false" customHeight="false" outlineLevel="0" collapsed="false">
      <c r="A6" s="5" t="s">
        <v>10</v>
      </c>
      <c r="B6" s="6" t="s">
        <v>11</v>
      </c>
      <c r="C6" s="5" t="s">
        <v>12</v>
      </c>
      <c r="D6" s="5" t="s">
        <v>13</v>
      </c>
      <c r="E6" s="5" t="s">
        <v>14</v>
      </c>
      <c r="F6" s="6" t="s">
        <v>15</v>
      </c>
      <c r="G6" s="7" t="s">
        <v>16</v>
      </c>
    </row>
    <row r="7" customFormat="false" ht="23.85" hidden="false" customHeight="false" outlineLevel="0" collapsed="false">
      <c r="A7" s="5" t="s">
        <v>17</v>
      </c>
      <c r="B7" s="6" t="s">
        <v>18</v>
      </c>
      <c r="C7" s="5" t="s">
        <v>19</v>
      </c>
      <c r="D7" s="5" t="s">
        <v>20</v>
      </c>
      <c r="E7" s="5" t="s">
        <v>14</v>
      </c>
      <c r="F7" s="6" t="s">
        <v>21</v>
      </c>
      <c r="G7" s="7" t="s">
        <v>22</v>
      </c>
    </row>
    <row r="8" customFormat="false" ht="35.05" hidden="false" customHeight="false" outlineLevel="0" collapsed="false">
      <c r="A8" s="5" t="s">
        <v>23</v>
      </c>
      <c r="B8" s="6" t="s">
        <v>24</v>
      </c>
      <c r="C8" s="5" t="s">
        <v>19</v>
      </c>
      <c r="D8" s="5" t="s">
        <v>25</v>
      </c>
      <c r="E8" s="5" t="s">
        <v>14</v>
      </c>
      <c r="F8" s="6" t="s">
        <v>26</v>
      </c>
      <c r="G8" s="7" t="s">
        <v>27</v>
      </c>
    </row>
    <row r="10" customFormat="false" ht="15" hidden="false" customHeight="false" outlineLevel="0" collapsed="false">
      <c r="A10" s="3" t="s">
        <v>28</v>
      </c>
    </row>
    <row r="11" customFormat="false" ht="42" hidden="false" customHeight="true" outlineLevel="0" collapsed="false">
      <c r="A11" s="4" t="s">
        <v>3</v>
      </c>
      <c r="B11" s="4" t="s">
        <v>29</v>
      </c>
      <c r="C11" s="4" t="s">
        <v>30</v>
      </c>
      <c r="D11" s="4" t="s">
        <v>31</v>
      </c>
      <c r="E11" s="4" t="s">
        <v>32</v>
      </c>
      <c r="F11" s="4" t="s">
        <v>33</v>
      </c>
      <c r="G11" s="4" t="s">
        <v>34</v>
      </c>
      <c r="H11" s="4" t="s">
        <v>35</v>
      </c>
      <c r="I11" s="4" t="s">
        <v>36</v>
      </c>
      <c r="J11" s="4" t="s">
        <v>37</v>
      </c>
      <c r="K11" s="4" t="s">
        <v>38</v>
      </c>
      <c r="L11" s="4" t="s">
        <v>39</v>
      </c>
    </row>
    <row r="12" customFormat="false" ht="15" hidden="false" customHeight="false" outlineLevel="0" collapsed="false">
      <c r="A12" s="8" t="s">
        <v>10</v>
      </c>
      <c r="B12" s="8" t="n">
        <f aca="false">COUNTIF('All Features'!$A$2:$A$423,$A12)</f>
        <v>337</v>
      </c>
      <c r="C12" s="8" t="n">
        <f aca="false">COUNTIFS('All Features'!$A$2:$A$423,$A12,'All Features'!$L$2:$L$423,"Yes")</f>
        <v>337</v>
      </c>
      <c r="D12" s="8" t="n">
        <f aca="false">COUNTIFS('All Features'!$A$2:$A$423,$A12,'All Features'!$L$2:$L$423,"No")</f>
        <v>0</v>
      </c>
      <c r="E12" s="8" t="n">
        <f aca="false">COUNTIFS('All Features'!$A$2:$A$423,$A12,'All Features'!$O$2:$O$423,"COMPLETED")</f>
        <v>130</v>
      </c>
      <c r="F12" s="8" t="n">
        <f aca="false">COUNTIFS('All Features'!$A$2:$A$423,$A12,'All Features'!$O$2:$O$423,"IMPLEMENTED BUT NOT VERIFIED")</f>
        <v>197</v>
      </c>
      <c r="G12" s="8" t="n">
        <f aca="false">COUNTIFS('All Features'!$A$2:$A$423,$A12,'All Features'!$O$2:$O$423,"BLOCKED")</f>
        <v>9</v>
      </c>
      <c r="H12" s="8" t="n">
        <f aca="false">COUNTIFS('All Features'!$A$2:$A$423,$A12,'All Features'!$O$2:$O$423,"IN PROGRESS")</f>
        <v>1</v>
      </c>
      <c r="I12" s="8" t="n">
        <f aca="false">COUNTIFS('All Features'!$A$2:$A$423,$A12,'All Features'!$O$2:$O$423,"IN REVIEW (open PR)")</f>
        <v>0</v>
      </c>
      <c r="J12" s="8" t="n">
        <f aca="false">COUNTIFS('All Features'!$A$2:$A$423,$A12,'All Features'!$O$2:$O$423,"IN REVIEW (draft PR)")</f>
        <v>0</v>
      </c>
      <c r="K12" s="8" t="n">
        <f aca="false">COUNTIFS('All Features'!$A$2:$A$423,$A12,'All Features'!$O$2:$O$423,"SUPERSEDED")</f>
        <v>0</v>
      </c>
      <c r="L12" s="8" t="n">
        <f aca="false">COUNTIFS('All Features'!$A$2:$A$423,$A12,'All Features'!$O$2:$O$423,"NOT STARTED")</f>
        <v>0</v>
      </c>
    </row>
    <row r="13" customFormat="false" ht="15" hidden="false" customHeight="false" outlineLevel="0" collapsed="false">
      <c r="A13" s="8" t="s">
        <v>17</v>
      </c>
      <c r="B13" s="8" t="n">
        <f aca="false">COUNTIF('All Features'!$A$2:$A$423,$A13)</f>
        <v>33</v>
      </c>
      <c r="C13" s="8" t="n">
        <f aca="false">COUNTIFS('All Features'!$A$2:$A$423,$A13,'All Features'!$L$2:$L$423,"Yes")</f>
        <v>32</v>
      </c>
      <c r="D13" s="8" t="n">
        <f aca="false">COUNTIFS('All Features'!$A$2:$A$423,$A13,'All Features'!$L$2:$L$423,"No")</f>
        <v>1</v>
      </c>
      <c r="E13" s="8" t="n">
        <f aca="false">COUNTIFS('All Features'!$A$2:$A$423,$A13,'All Features'!$O$2:$O$423,"COMPLETED")</f>
        <v>32</v>
      </c>
      <c r="F13" s="8" t="n">
        <f aca="false">COUNTIFS('All Features'!$A$2:$A$423,$A13,'All Features'!$O$2:$O$423,"IMPLEMENTED BUT NOT VERIFIED")</f>
        <v>0</v>
      </c>
      <c r="G13" s="8" t="n">
        <f aca="false">COUNTIFS('All Features'!$A$2:$A$423,$A13,'All Features'!$O$2:$O$423,"BLOCKED")</f>
        <v>0</v>
      </c>
      <c r="H13" s="8" t="n">
        <f aca="false">COUNTIFS('All Features'!$A$2:$A$423,$A13,'All Features'!$O$2:$O$423,"IN PROGRESS")</f>
        <v>0</v>
      </c>
      <c r="I13" s="8" t="n">
        <f aca="false">COUNTIFS('All Features'!$A$2:$A$423,$A13,'All Features'!$O$2:$O$423,"IN REVIEW (open PR)")</f>
        <v>1</v>
      </c>
      <c r="J13" s="8" t="n">
        <f aca="false">COUNTIFS('All Features'!$A$2:$A$423,$A13,'All Features'!$O$2:$O$423,"IN REVIEW (draft PR)")</f>
        <v>0</v>
      </c>
      <c r="K13" s="8" t="n">
        <f aca="false">COUNTIFS('All Features'!$A$2:$A$423,$A13,'All Features'!$O$2:$O$423,"SUPERSEDED")</f>
        <v>0</v>
      </c>
      <c r="L13" s="8" t="n">
        <f aca="false">COUNTIFS('All Features'!$A$2:$A$423,$A13,'All Features'!$O$2:$O$423,"NOT STARTED")</f>
        <v>0</v>
      </c>
    </row>
    <row r="14" customFormat="false" ht="15" hidden="false" customHeight="false" outlineLevel="0" collapsed="false">
      <c r="A14" s="8" t="s">
        <v>23</v>
      </c>
      <c r="B14" s="8" t="n">
        <f aca="false">COUNTIF('All Features'!$A$2:$A$423,$A14)</f>
        <v>52</v>
      </c>
      <c r="C14" s="8" t="n">
        <f aca="false">COUNTIFS('All Features'!$A$2:$A$423,$A14,'All Features'!$L$2:$L$423,"Yes")</f>
        <v>39</v>
      </c>
      <c r="D14" s="8" t="n">
        <f aca="false">COUNTIFS('All Features'!$A$2:$A$423,$A14,'All Features'!$L$2:$L$423,"No")</f>
        <v>13</v>
      </c>
      <c r="E14" s="8" t="n">
        <f aca="false">COUNTIFS('All Features'!$A$2:$A$423,$A14,'All Features'!$O$2:$O$423,"COMPLETED")</f>
        <v>38</v>
      </c>
      <c r="F14" s="8" t="n">
        <f aca="false">COUNTIFS('All Features'!$A$2:$A$423,$A14,'All Features'!$O$2:$O$423,"IMPLEMENTED BUT NOT VERIFIED")</f>
        <v>0</v>
      </c>
      <c r="G14" s="8" t="n">
        <f aca="false">COUNTIFS('All Features'!$A$2:$A$423,$A14,'All Features'!$O$2:$O$423,"BLOCKED")</f>
        <v>0</v>
      </c>
      <c r="H14" s="8" t="n">
        <f aca="false">COUNTIFS('All Features'!$A$2:$A$423,$A14,'All Features'!$O$2:$O$423,"IN PROGRESS")</f>
        <v>0</v>
      </c>
      <c r="I14" s="8" t="n">
        <f aca="false">COUNTIFS('All Features'!$A$2:$A$423,$A14,'All Features'!$O$2:$O$423,"IN REVIEW (open PR)")</f>
        <v>1</v>
      </c>
      <c r="J14" s="8" t="n">
        <f aca="false">COUNTIFS('All Features'!$A$2:$A$423,$A14,'All Features'!$O$2:$O$423,"IN REVIEW (draft PR)")</f>
        <v>0</v>
      </c>
      <c r="K14" s="8" t="n">
        <f aca="false">COUNTIFS('All Features'!$A$2:$A$423,$A14,'All Features'!$O$2:$O$423,"SUPERSEDED")</f>
        <v>1</v>
      </c>
      <c r="L14" s="8" t="n">
        <f aca="false">COUNTIFS('All Features'!$A$2:$A$423,$A14,'All Features'!$O$2:$O$423,"NOT STARTED")</f>
        <v>12</v>
      </c>
    </row>
    <row r="15" customFormat="false" ht="15" hidden="false" customHeight="false" outlineLevel="0" collapsed="false">
      <c r="A15" s="9" t="s">
        <v>40</v>
      </c>
      <c r="B15" s="9" t="n">
        <f aca="false">SUM(B12:B14)</f>
        <v>422</v>
      </c>
      <c r="C15" s="9" t="n">
        <f aca="false">SUM(C12:C14)</f>
        <v>408</v>
      </c>
      <c r="D15" s="9" t="n">
        <f aca="false">SUM(D12:D14)</f>
        <v>14</v>
      </c>
      <c r="E15" s="9" t="n">
        <f aca="false">SUM(E12:E14)</f>
        <v>200</v>
      </c>
      <c r="F15" s="9" t="n">
        <f aca="false">SUM(F12:F14)</f>
        <v>197</v>
      </c>
      <c r="G15" s="9" t="n">
        <f aca="false">SUM(G12:G14)</f>
        <v>9</v>
      </c>
      <c r="H15" s="9" t="n">
        <f aca="false">SUM(H12:H14)</f>
        <v>1</v>
      </c>
      <c r="I15" s="9" t="n">
        <f aca="false">SUM(I12:I14)</f>
        <v>2</v>
      </c>
      <c r="J15" s="9" t="n">
        <f aca="false">SUM(J12:J14)</f>
        <v>0</v>
      </c>
      <c r="K15" s="9" t="n">
        <f aca="false">SUM(K12:K14)</f>
        <v>1</v>
      </c>
      <c r="L15" s="9" t="n">
        <f aca="false">SUM(L12:L14)</f>
        <v>12</v>
      </c>
    </row>
    <row r="16" customFormat="false" ht="15" hidden="false" customHeight="false" outlineLevel="0" collapsed="false">
      <c r="A16" s="2" t="s">
        <v>41</v>
      </c>
      <c r="E16" s="3" t="str">
        <f aca="false">IF(SUM(E15:L15)=B15,"OK","MISMATCH")</f>
        <v>OK</v>
      </c>
    </row>
    <row r="18" customFormat="false" ht="15" hidden="false" customHeight="false" outlineLevel="0" collapsed="false">
      <c r="A18" s="3" t="s">
        <v>42</v>
      </c>
    </row>
    <row r="19" customFormat="false" ht="23.85" hidden="false" customHeight="false" outlineLevel="0" collapsed="false">
      <c r="A19" s="4" t="s">
        <v>3</v>
      </c>
      <c r="B19" s="4" t="s">
        <v>43</v>
      </c>
      <c r="C19" s="4" t="s">
        <v>44</v>
      </c>
      <c r="D19" s="4" t="s">
        <v>45</v>
      </c>
      <c r="E19" s="4" t="s">
        <v>46</v>
      </c>
    </row>
    <row r="20" customFormat="false" ht="15" hidden="false" customHeight="false" outlineLevel="0" collapsed="false">
      <c r="A20" s="8" t="s">
        <v>10</v>
      </c>
      <c r="B20" s="8" t="n">
        <f aca="false">COUNTIF('Pull Requests'!$A$2:$A$28,$A20)</f>
        <v>8</v>
      </c>
      <c r="C20" s="8" t="n">
        <f aca="false">COUNTIFS('Pull Requests'!$A$2:$A$28,$A20,'Pull Requests'!$F$2:$F$28,"Merged")</f>
        <v>8</v>
      </c>
      <c r="D20" s="8" t="n">
        <f aca="false">COUNTIFS('Pull Requests'!$A$2:$A$28,$A20,'Pull Requests'!$F$2:$F$28,"Open - not merged")</f>
        <v>0</v>
      </c>
      <c r="E20" s="8" t="n">
        <f aca="false">COUNTIFS('Pull Requests'!$A$2:$A$28,$A20,'Pull Requests'!$F$2:$F$28,"Draft - not merged")</f>
        <v>0</v>
      </c>
    </row>
    <row r="21" customFormat="false" ht="15" hidden="false" customHeight="false" outlineLevel="0" collapsed="false">
      <c r="A21" s="8" t="s">
        <v>17</v>
      </c>
      <c r="B21" s="8" t="n">
        <f aca="false">COUNTIF('Pull Requests'!$A$2:$A$28,$A21)</f>
        <v>14</v>
      </c>
      <c r="C21" s="8" t="n">
        <f aca="false">COUNTIFS('Pull Requests'!$A$2:$A$28,$A21,'Pull Requests'!$F$2:$F$28,"Merged")</f>
        <v>13</v>
      </c>
      <c r="D21" s="8" t="n">
        <f aca="false">COUNTIFS('Pull Requests'!$A$2:$A$28,$A21,'Pull Requests'!$F$2:$F$28,"Open - not merged")</f>
        <v>1</v>
      </c>
      <c r="E21" s="8" t="n">
        <f aca="false">COUNTIFS('Pull Requests'!$A$2:$A$28,$A21,'Pull Requests'!$F$2:$F$28,"Draft - not merged")</f>
        <v>0</v>
      </c>
    </row>
    <row r="22" customFormat="false" ht="15" hidden="false" customHeight="false" outlineLevel="0" collapsed="false">
      <c r="A22" s="8" t="s">
        <v>23</v>
      </c>
      <c r="B22" s="8" t="n">
        <f aca="false">COUNTIF('Pull Requests'!$A$2:$A$28,$A22)</f>
        <v>5</v>
      </c>
      <c r="C22" s="8" t="n">
        <f aca="false">COUNTIFS('Pull Requests'!$A$2:$A$28,$A22,'Pull Requests'!$F$2:$F$28,"Merged")</f>
        <v>4</v>
      </c>
      <c r="D22" s="8" t="n">
        <f aca="false">COUNTIFS('Pull Requests'!$A$2:$A$28,$A22,'Pull Requests'!$F$2:$F$28,"Open - not merged")</f>
        <v>1</v>
      </c>
      <c r="E22" s="8" t="n">
        <f aca="false">COUNTIFS('Pull Requests'!$A$2:$A$28,$A22,'Pull Requests'!$F$2:$F$28,"Draft - not merged")</f>
        <v>0</v>
      </c>
    </row>
    <row r="23" customFormat="false" ht="15" hidden="false" customHeight="false" outlineLevel="0" collapsed="false">
      <c r="A23" s="9" t="s">
        <v>40</v>
      </c>
      <c r="B23" s="9" t="n">
        <f aca="false">SUM(B20:B22)</f>
        <v>27</v>
      </c>
      <c r="C23" s="9" t="n">
        <f aca="false">SUM(C20:C22)</f>
        <v>25</v>
      </c>
      <c r="D23" s="9" t="n">
        <f aca="false">SUM(D20:D22)</f>
        <v>2</v>
      </c>
      <c r="E23" s="9" t="n">
        <f aca="false">SUM(E20:E22)</f>
        <v>0</v>
      </c>
    </row>
    <row r="25" customFormat="false" ht="15" hidden="false" customHeight="false" outlineLevel="0" collapsed="false">
      <c r="A25" s="3" t="s">
        <v>47</v>
      </c>
    </row>
    <row r="26" customFormat="false" ht="35.05" hidden="false" customHeight="false" outlineLevel="0" collapsed="false">
      <c r="A26" s="4" t="s">
        <v>3</v>
      </c>
      <c r="B26" s="4" t="s">
        <v>48</v>
      </c>
      <c r="C26" s="4" t="s">
        <v>49</v>
      </c>
      <c r="D26" s="4" t="s">
        <v>50</v>
      </c>
      <c r="E26" s="4" t="s">
        <v>51</v>
      </c>
    </row>
    <row r="27" customFormat="false" ht="15" hidden="false" customHeight="false" outlineLevel="0" collapsed="false">
      <c r="A27" s="8" t="s">
        <v>10</v>
      </c>
      <c r="B27" s="8" t="n">
        <f aca="false">COUNTIF(Branches!$A$2:$A$75,$A27)</f>
        <v>64</v>
      </c>
      <c r="C27" s="8" t="n">
        <f aca="false">COUNTIFS(Branches!$A$2:$A$75,$A27,Branches!$H$2:$H$75,"Fully merged")</f>
        <v>60</v>
      </c>
      <c r="D27" s="8" t="n">
        <f aca="false">COUNTIFS(Branches!$A$2:$A$75,$A27,Branches!$H$2:$H$75,"Merged (same changes already in default)")</f>
        <v>1</v>
      </c>
      <c r="E27" s="8" t="n">
        <f aca="false">COUNTIFS(Branches!$A$2:$A$75,$A27,Branches!$H$2:$H$75,"NOT merged")</f>
        <v>2</v>
      </c>
    </row>
    <row r="28" customFormat="false" ht="15" hidden="false" customHeight="false" outlineLevel="0" collapsed="false">
      <c r="A28" s="8" t="s">
        <v>17</v>
      </c>
      <c r="B28" s="8" t="n">
        <f aca="false">COUNTIF(Branches!$A$2:$A$75,$A28)</f>
        <v>5</v>
      </c>
      <c r="C28" s="8" t="n">
        <f aca="false">COUNTIFS(Branches!$A$2:$A$75,$A28,Branches!$H$2:$H$75,"Fully merged")</f>
        <v>3</v>
      </c>
      <c r="D28" s="8" t="n">
        <f aca="false">COUNTIFS(Branches!$A$2:$A$75,$A28,Branches!$H$2:$H$75,"Merged (same changes already in default)")</f>
        <v>0</v>
      </c>
      <c r="E28" s="8" t="n">
        <f aca="false">COUNTIFS(Branches!$A$2:$A$75,$A28,Branches!$H$2:$H$75,"NOT merged")</f>
        <v>1</v>
      </c>
    </row>
    <row r="29" customFormat="false" ht="15" hidden="false" customHeight="false" outlineLevel="0" collapsed="false">
      <c r="A29" s="8" t="s">
        <v>23</v>
      </c>
      <c r="B29" s="8" t="n">
        <f aca="false">COUNTIF(Branches!$A$2:$A$75,$A29)</f>
        <v>5</v>
      </c>
      <c r="C29" s="8" t="n">
        <f aca="false">COUNTIFS(Branches!$A$2:$A$75,$A29,Branches!$H$2:$H$75,"Fully merged")</f>
        <v>3</v>
      </c>
      <c r="D29" s="8" t="n">
        <f aca="false">COUNTIFS(Branches!$A$2:$A$75,$A29,Branches!$H$2:$H$75,"Merged (same changes already in default)")</f>
        <v>0</v>
      </c>
      <c r="E29" s="8" t="n">
        <f aca="false">COUNTIFS(Branches!$A$2:$A$75,$A29,Branches!$H$2:$H$75,"NOT merged")</f>
        <v>1</v>
      </c>
    </row>
    <row r="30" customFormat="false" ht="15" hidden="false" customHeight="false" outlineLevel="0" collapsed="false">
      <c r="A30" s="9" t="s">
        <v>40</v>
      </c>
      <c r="B30" s="9" t="n">
        <f aca="false">SUM(B27:B29)</f>
        <v>74</v>
      </c>
      <c r="C30" s="9" t="n">
        <f aca="false">SUM(C27:C29)</f>
        <v>66</v>
      </c>
      <c r="D30" s="9" t="n">
        <f aca="false">SUM(D27:D29)</f>
        <v>1</v>
      </c>
      <c r="E30" s="9" t="n">
        <f aca="false">SUM(E27:E29)</f>
        <v>4</v>
      </c>
    </row>
    <row r="32" customFormat="false" ht="15" hidden="false" customHeight="false" outlineLevel="0" collapsed="false">
      <c r="A32" s="3" t="s">
        <v>52</v>
      </c>
    </row>
    <row r="33" customFormat="false" ht="27.75" hidden="false" customHeight="true" outlineLevel="0" collapsed="false">
      <c r="A33" s="10" t="s">
        <v>53</v>
      </c>
      <c r="B33" s="10"/>
      <c r="C33" s="10"/>
      <c r="D33" s="10"/>
      <c r="E33" s="10"/>
      <c r="F33" s="10"/>
      <c r="G33" s="10"/>
      <c r="H33" s="10"/>
      <c r="I33" s="10"/>
      <c r="J33" s="10"/>
    </row>
    <row r="34" customFormat="false" ht="27.75" hidden="false" customHeight="true" outlineLevel="0" collapsed="false">
      <c r="A34" s="10" t="s">
        <v>54</v>
      </c>
      <c r="B34" s="10"/>
      <c r="C34" s="10"/>
      <c r="D34" s="10"/>
      <c r="E34" s="10"/>
      <c r="F34" s="10"/>
      <c r="G34" s="10"/>
      <c r="H34" s="10"/>
      <c r="I34" s="10"/>
      <c r="J34" s="10"/>
    </row>
    <row r="35" customFormat="false" ht="27.75" hidden="false" customHeight="true" outlineLevel="0" collapsed="false">
      <c r="A35" s="10" t="s">
        <v>55</v>
      </c>
      <c r="B35" s="10"/>
      <c r="C35" s="10"/>
      <c r="D35" s="10"/>
      <c r="E35" s="10"/>
      <c r="F35" s="10"/>
      <c r="G35" s="10"/>
      <c r="H35" s="10"/>
      <c r="I35" s="10"/>
      <c r="J35" s="10"/>
    </row>
    <row r="36" customFormat="false" ht="27.75" hidden="false" customHeight="true" outlineLevel="0" collapsed="false">
      <c r="A36" s="10" t="s">
        <v>56</v>
      </c>
      <c r="B36" s="10"/>
      <c r="C36" s="10"/>
      <c r="D36" s="10"/>
      <c r="E36" s="10"/>
      <c r="F36" s="10"/>
      <c r="G36" s="10"/>
      <c r="H36" s="10"/>
      <c r="I36" s="10"/>
      <c r="J36" s="10"/>
    </row>
    <row r="37" customFormat="false" ht="27.75" hidden="false" customHeight="true" outlineLevel="0" collapsed="false">
      <c r="A37" s="10" t="s">
        <v>57</v>
      </c>
      <c r="B37" s="10"/>
      <c r="C37" s="10"/>
      <c r="D37" s="10"/>
      <c r="E37" s="10"/>
      <c r="F37" s="10"/>
      <c r="G37" s="10"/>
      <c r="H37" s="10"/>
      <c r="I37" s="10"/>
      <c r="J37" s="10"/>
    </row>
    <row r="38" customFormat="false" ht="27.75" hidden="false" customHeight="true" outlineLevel="0" collapsed="false">
      <c r="A38" s="10" t="s">
        <v>58</v>
      </c>
      <c r="B38" s="10"/>
      <c r="C38" s="10"/>
      <c r="D38" s="10"/>
      <c r="E38" s="10"/>
      <c r="F38" s="10"/>
      <c r="G38" s="10"/>
      <c r="H38" s="10"/>
      <c r="I38" s="10"/>
      <c r="J38" s="10"/>
    </row>
    <row r="39" customFormat="false" ht="27.75" hidden="false" customHeight="true" outlineLevel="0" collapsed="false">
      <c r="A39" s="10" t="s">
        <v>59</v>
      </c>
      <c r="B39" s="10"/>
      <c r="C39" s="10"/>
      <c r="D39" s="10"/>
      <c r="E39" s="10"/>
      <c r="F39" s="10"/>
      <c r="G39" s="10"/>
      <c r="H39" s="10"/>
      <c r="I39" s="10"/>
      <c r="J39" s="10"/>
    </row>
  </sheetData>
  <mergeCells count="7">
    <mergeCell ref="A33:J33"/>
    <mergeCell ref="A34:J34"/>
    <mergeCell ref="A35:J35"/>
    <mergeCell ref="A36:J36"/>
    <mergeCell ref="A37:J37"/>
    <mergeCell ref="A38:J38"/>
    <mergeCell ref="A39:J39"/>
  </mergeCells>
  <hyperlinks>
    <hyperlink ref="G6" r:id="rId1" display="https://github.com/sanjaymorankar-debug/ATIP-DEV"/>
    <hyperlink ref="G7" r:id="rId2" display="https://github.com/sanjaymorankar-debug/bkesari"/>
    <hyperlink ref="G8" r:id="rId3" display="https://github.com/sanjaymorankar-debug/bkesari-platfor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8"/>
    <col collapsed="false" customWidth="true" hidden="false" outlineLevel="0" max="4" min="4" style="0" width="52"/>
    <col collapsed="false" customWidth="true" hidden="false" outlineLevel="0" max="6" min="5" style="0" width="11"/>
    <col collapsed="false" customWidth="true" hidden="false" outlineLevel="0" max="7" min="7" style="0" width="9"/>
    <col collapsed="false" customWidth="true" hidden="false" outlineLevel="0" max="8" min="8" style="0" width="10"/>
    <col collapsed="false" customWidth="true" hidden="false" outlineLevel="0" max="9" min="9" style="0" width="12"/>
    <col collapsed="false" customWidth="true" hidden="false" outlineLevel="0" max="11" min="10" style="0" width="9"/>
    <col collapsed="false" customWidth="true" hidden="false" outlineLevel="0" max="12" min="12" style="0" width="10"/>
    <col collapsed="false" customWidth="true" hidden="false" outlineLevel="0" max="13" min="13" style="0" width="9"/>
    <col collapsed="false" customWidth="true" hidden="false" outlineLevel="0" max="14" min="14" style="0" width="10"/>
    <col collapsed="false" customWidth="true" hidden="false" outlineLevel="0" max="15" min="15" style="0" width="11"/>
    <col collapsed="false" customWidth="true" hidden="false" outlineLevel="0" max="16" min="16" style="0" width="10"/>
    <col collapsed="false" customWidth="true" hidden="false" outlineLevel="0" max="17" min="17" style="0" width="12"/>
    <col collapsed="false" customWidth="true" hidden="false" outlineLevel="0" max="18" min="18" style="0" width="34"/>
  </cols>
  <sheetData>
    <row r="1" customFormat="false" ht="17.35" hidden="false" customHeight="false" outlineLevel="0" collapsed="false">
      <c r="A1" s="1" t="s">
        <v>60</v>
      </c>
    </row>
    <row r="2" customFormat="false" ht="15" hidden="false" customHeight="false" outlineLevel="0" collapsed="false">
      <c r="A2" s="2" t="s">
        <v>61</v>
      </c>
    </row>
    <row r="4" customFormat="false" ht="30" hidden="false" customHeight="true" outlineLevel="0" collapsed="false">
      <c r="A4" s="4" t="s">
        <v>3</v>
      </c>
      <c r="B4" s="4" t="s">
        <v>62</v>
      </c>
      <c r="C4" s="4" t="s">
        <v>63</v>
      </c>
      <c r="D4" s="4" t="s">
        <v>64</v>
      </c>
      <c r="E4" s="4" t="s">
        <v>65</v>
      </c>
      <c r="F4" s="4" t="s">
        <v>66</v>
      </c>
      <c r="G4" s="4" t="s">
        <v>67</v>
      </c>
      <c r="H4" s="4" t="s">
        <v>32</v>
      </c>
      <c r="I4" s="4" t="s">
        <v>33</v>
      </c>
      <c r="J4" s="4" t="s">
        <v>34</v>
      </c>
      <c r="K4" s="4" t="s">
        <v>35</v>
      </c>
      <c r="L4" s="4" t="s">
        <v>68</v>
      </c>
      <c r="M4" s="4" t="s">
        <v>39</v>
      </c>
      <c r="N4" s="4" t="s">
        <v>38</v>
      </c>
      <c r="O4" s="4" t="s">
        <v>30</v>
      </c>
      <c r="P4" s="4" t="s">
        <v>69</v>
      </c>
      <c r="Q4" s="4" t="s">
        <v>70</v>
      </c>
      <c r="R4" s="4" t="s">
        <v>71</v>
      </c>
    </row>
    <row r="5" customFormat="false" ht="15" hidden="false" customHeight="false" outlineLevel="0" collapsed="false">
      <c r="A5" s="5" t="s">
        <v>10</v>
      </c>
      <c r="B5" s="5" t="s">
        <v>72</v>
      </c>
      <c r="C5" s="5" t="n">
        <v>0</v>
      </c>
      <c r="D5" s="6" t="s">
        <v>73</v>
      </c>
      <c r="E5" s="11" t="n">
        <f aca="false">IF(COUNTIFS('All Features'!$B$2:$B$423,$B5,'All Features'!$C$2:$C$423,$C5,'All Features'!$J$2:$J$423,"&gt;0")=0,"",_xlfn.MINIFS('All Features'!$J$2:$J$423,'All Features'!$B$2:$B$423,$B5,'All Features'!$C$2:$C$423,$C5))</f>
        <v>46289</v>
      </c>
      <c r="F5" s="11" t="n">
        <f aca="false">IF(COUNTIFS('All Features'!$B$2:$B$423,$B5,'All Features'!$C$2:$C$423,$C5,'All Features'!$J$2:$J$423,"&gt;0")=0,"",_xlfn.MAXIFS('All Features'!$J$2:$J$423,'All Features'!$B$2:$B$423,$B5,'All Features'!$C$2:$C$423,$C5))</f>
        <v>46302</v>
      </c>
      <c r="G5" s="5" t="n">
        <f aca="false">COUNTIFS('All Features'!$B$2:$B$423,$B5,'All Features'!$C$2:$C$423,$C5)</f>
        <v>58</v>
      </c>
      <c r="H5" s="5" t="n">
        <f aca="false">COUNTIFS('All Features'!$B$2:$B$423,$B5,'All Features'!$C$2:$C$423,$C5,'All Features'!$O$2:$O$423,"COMPLETED")</f>
        <v>58</v>
      </c>
      <c r="I5" s="5" t="n">
        <f aca="false">COUNTIFS('All Features'!$B$2:$B$423,$B5,'All Features'!$C$2:$C$423,$C5,'All Features'!$O$2:$O$423,"IMPLEMENTED BUT NOT VERIFIED")</f>
        <v>0</v>
      </c>
      <c r="J5" s="5" t="n">
        <f aca="false">COUNTIFS('All Features'!$B$2:$B$423,$B5,'All Features'!$C$2:$C$423,$C5,'All Features'!$O$2:$O$423,"BLOCKED")</f>
        <v>0</v>
      </c>
      <c r="K5" s="5" t="n">
        <f aca="false">COUNTIFS('All Features'!$B$2:$B$423,$B5,'All Features'!$C$2:$C$423,$C5,'All Features'!$O$2:$O$423,"IN PROGRESS")</f>
        <v>0</v>
      </c>
      <c r="L5" s="5" t="n">
        <f aca="false">COUNTIFS('All Features'!$B$2:$B$423,$B5,'All Features'!$C$2:$C$423,$C5,'All Features'!$O$2:$O$423,"IN REVIEW*")</f>
        <v>0</v>
      </c>
      <c r="M5" s="5" t="n">
        <f aca="false">COUNTIFS('All Features'!$B$2:$B$423,$B5,'All Features'!$C$2:$C$423,$C5,'All Features'!$O$2:$O$423,"NOT STARTED")</f>
        <v>0</v>
      </c>
      <c r="N5" s="5" t="n">
        <f aca="false">COUNTIFS('All Features'!$B$2:$B$423,$B5,'All Features'!$C$2:$C$423,$C5,'All Features'!$O$2:$O$423,"SUPERSEDED")</f>
        <v>0</v>
      </c>
      <c r="O5" s="5" t="n">
        <f aca="false">COUNTIFS('All Features'!$B$2:$B$423,$B5,'All Features'!$C$2:$C$423,$C5,'All Features'!$L$2:$L$423,"Yes")</f>
        <v>58</v>
      </c>
      <c r="P5" s="12" t="n">
        <f aca="false">IFERROR((H5+N5)/G5,0)</f>
        <v>1</v>
      </c>
      <c r="Q5" s="12" t="n">
        <f aca="false">IFERROR(AVERAGEIFS('All Features'!$Q$2:$Q$423,'All Features'!$B$2:$B$423,$B5,'All Features'!$C$2:$C$423,$C5),"")</f>
        <v>0.799137931034483</v>
      </c>
      <c r="R5" s="5" t="str">
        <f aca="false">IF(G5=0,"-",IF(H5+N5=G5,"COMPLETED",IF(M5=G5,"NOT STARTED",IF(H5+I5+N5=G5,"BUILT - VERIFICATION PENDING","IN PROGRESS"&amp;IF(J5&gt;0," - "&amp;J5&amp;" BLOCKED","")&amp;IF(L5&gt;0," - "&amp;L5&amp;" in review","")))))</f>
        <v>COMPLETED</v>
      </c>
    </row>
    <row r="6" customFormat="false" ht="15" hidden="false" customHeight="false" outlineLevel="0" collapsed="false">
      <c r="A6" s="5" t="s">
        <v>10</v>
      </c>
      <c r="B6" s="5" t="s">
        <v>72</v>
      </c>
      <c r="C6" s="5" t="n">
        <v>1</v>
      </c>
      <c r="D6" s="6" t="s">
        <v>74</v>
      </c>
      <c r="E6" s="11" t="n">
        <f aca="false">IF(COUNTIFS('All Features'!$B$2:$B$423,$B6,'All Features'!$C$2:$C$423,$C6,'All Features'!$J$2:$J$423,"&gt;0")=0,"",_xlfn.MINIFS('All Features'!$J$2:$J$423,'All Features'!$B$2:$B$423,$B6,'All Features'!$C$2:$C$423,$C6))</f>
        <v>46289</v>
      </c>
      <c r="F6" s="11" t="n">
        <f aca="false">IF(COUNTIFS('All Features'!$B$2:$B$423,$B6,'All Features'!$C$2:$C$423,$C6,'All Features'!$J$2:$J$423,"&gt;0")=0,"",_xlfn.MAXIFS('All Features'!$J$2:$J$423,'All Features'!$B$2:$B$423,$B6,'All Features'!$C$2:$C$423,$C6))</f>
        <v>46302</v>
      </c>
      <c r="G6" s="5" t="n">
        <f aca="false">COUNTIFS('All Features'!$B$2:$B$423,$B6,'All Features'!$C$2:$C$423,$C6)</f>
        <v>31</v>
      </c>
      <c r="H6" s="5" t="n">
        <f aca="false">COUNTIFS('All Features'!$B$2:$B$423,$B6,'All Features'!$C$2:$C$423,$C6,'All Features'!$O$2:$O$423,"COMPLETED")</f>
        <v>27</v>
      </c>
      <c r="I6" s="5" t="n">
        <f aca="false">COUNTIFS('All Features'!$B$2:$B$423,$B6,'All Features'!$C$2:$C$423,$C6,'All Features'!$O$2:$O$423,"IMPLEMENTED BUT NOT VERIFIED")</f>
        <v>4</v>
      </c>
      <c r="J6" s="5" t="n">
        <f aca="false">COUNTIFS('All Features'!$B$2:$B$423,$B6,'All Features'!$C$2:$C$423,$C6,'All Features'!$O$2:$O$423,"BLOCKED")</f>
        <v>0</v>
      </c>
      <c r="K6" s="5" t="n">
        <f aca="false">COUNTIFS('All Features'!$B$2:$B$423,$B6,'All Features'!$C$2:$C$423,$C6,'All Features'!$O$2:$O$423,"IN PROGRESS")</f>
        <v>0</v>
      </c>
      <c r="L6" s="5" t="n">
        <f aca="false">COUNTIFS('All Features'!$B$2:$B$423,$B6,'All Features'!$C$2:$C$423,$C6,'All Features'!$O$2:$O$423,"IN REVIEW*")</f>
        <v>0</v>
      </c>
      <c r="M6" s="5" t="n">
        <f aca="false">COUNTIFS('All Features'!$B$2:$B$423,$B6,'All Features'!$C$2:$C$423,$C6,'All Features'!$O$2:$O$423,"NOT STARTED")</f>
        <v>0</v>
      </c>
      <c r="N6" s="5" t="n">
        <f aca="false">COUNTIFS('All Features'!$B$2:$B$423,$B6,'All Features'!$C$2:$C$423,$C6,'All Features'!$O$2:$O$423,"SUPERSEDED")</f>
        <v>0</v>
      </c>
      <c r="O6" s="5" t="n">
        <f aca="false">COUNTIFS('All Features'!$B$2:$B$423,$B6,'All Features'!$C$2:$C$423,$C6,'All Features'!$L$2:$L$423,"Yes")</f>
        <v>31</v>
      </c>
      <c r="P6" s="12" t="n">
        <f aca="false">IFERROR((H6+N6)/G6,0)</f>
        <v>0.870967741935484</v>
      </c>
      <c r="Q6" s="12" t="n">
        <f aca="false">IFERROR(AVERAGEIFS('All Features'!$Q$2:$Q$423,'All Features'!$B$2:$B$423,$B6,'All Features'!$C$2:$C$423,$C6),"")</f>
        <v>0.830645161290323</v>
      </c>
      <c r="R6" s="5" t="str">
        <f aca="false">IF(G6=0,"-",IF(H6+N6=G6,"COMPLETED",IF(M6=G6,"NOT STARTED",IF(H6+I6+N6=G6,"BUILT - VERIFICATION PENDING","IN PROGRESS"&amp;IF(J6&gt;0," - "&amp;J6&amp;" BLOCKED","")&amp;IF(L6&gt;0," - "&amp;L6&amp;" in review","")))))</f>
        <v>BUILT - VERIFICATION PENDING</v>
      </c>
    </row>
    <row r="7" customFormat="false" ht="15" hidden="false" customHeight="false" outlineLevel="0" collapsed="false">
      <c r="A7" s="5" t="s">
        <v>10</v>
      </c>
      <c r="B7" s="5" t="s">
        <v>72</v>
      </c>
      <c r="C7" s="5" t="n">
        <v>2</v>
      </c>
      <c r="D7" s="6" t="s">
        <v>75</v>
      </c>
      <c r="E7" s="11" t="n">
        <f aca="false">IF(COUNTIFS('All Features'!$B$2:$B$423,$B7,'All Features'!$C$2:$C$423,$C7,'All Features'!$J$2:$J$423,"&gt;0")=0,"",_xlfn.MINIFS('All Features'!$J$2:$J$423,'All Features'!$B$2:$B$423,$B7,'All Features'!$C$2:$C$423,$C7))</f>
        <v>46289</v>
      </c>
      <c r="F7" s="11" t="n">
        <f aca="false">IF(COUNTIFS('All Features'!$B$2:$B$423,$B7,'All Features'!$C$2:$C$423,$C7,'All Features'!$J$2:$J$423,"&gt;0")=0,"",_xlfn.MAXIFS('All Features'!$J$2:$J$423,'All Features'!$B$2:$B$423,$B7,'All Features'!$C$2:$C$423,$C7))</f>
        <v>46302</v>
      </c>
      <c r="G7" s="5" t="n">
        <f aca="false">COUNTIFS('All Features'!$B$2:$B$423,$B7,'All Features'!$C$2:$C$423,$C7)</f>
        <v>52</v>
      </c>
      <c r="H7" s="5" t="n">
        <f aca="false">COUNTIFS('All Features'!$B$2:$B$423,$B7,'All Features'!$C$2:$C$423,$C7,'All Features'!$O$2:$O$423,"COMPLETED")</f>
        <v>17</v>
      </c>
      <c r="I7" s="5" t="n">
        <f aca="false">COUNTIFS('All Features'!$B$2:$B$423,$B7,'All Features'!$C$2:$C$423,$C7,'All Features'!$O$2:$O$423,"IMPLEMENTED BUT NOT VERIFIED")</f>
        <v>35</v>
      </c>
      <c r="J7" s="5" t="n">
        <f aca="false">COUNTIFS('All Features'!$B$2:$B$423,$B7,'All Features'!$C$2:$C$423,$C7,'All Features'!$O$2:$O$423,"BLOCKED")</f>
        <v>0</v>
      </c>
      <c r="K7" s="5" t="n">
        <f aca="false">COUNTIFS('All Features'!$B$2:$B$423,$B7,'All Features'!$C$2:$C$423,$C7,'All Features'!$O$2:$O$423,"IN PROGRESS")</f>
        <v>0</v>
      </c>
      <c r="L7" s="5" t="n">
        <f aca="false">COUNTIFS('All Features'!$B$2:$B$423,$B7,'All Features'!$C$2:$C$423,$C7,'All Features'!$O$2:$O$423,"IN REVIEW*")</f>
        <v>0</v>
      </c>
      <c r="M7" s="5" t="n">
        <f aca="false">COUNTIFS('All Features'!$B$2:$B$423,$B7,'All Features'!$C$2:$C$423,$C7,'All Features'!$O$2:$O$423,"NOT STARTED")</f>
        <v>0</v>
      </c>
      <c r="N7" s="5" t="n">
        <f aca="false">COUNTIFS('All Features'!$B$2:$B$423,$B7,'All Features'!$C$2:$C$423,$C7,'All Features'!$O$2:$O$423,"SUPERSEDED")</f>
        <v>0</v>
      </c>
      <c r="O7" s="5" t="n">
        <f aca="false">COUNTIFS('All Features'!$B$2:$B$423,$B7,'All Features'!$C$2:$C$423,$C7,'All Features'!$L$2:$L$423,"Yes")</f>
        <v>52</v>
      </c>
      <c r="P7" s="12" t="n">
        <f aca="false">IFERROR((H7+N7)/G7,0)</f>
        <v>0.326923076923077</v>
      </c>
      <c r="Q7" s="12" t="n">
        <f aca="false">IFERROR(AVERAGEIFS('All Features'!$Q$2:$Q$423,'All Features'!$B$2:$B$423,$B7,'All Features'!$C$2:$C$423,$C7),"")</f>
        <v>0.806730769230769</v>
      </c>
      <c r="R7" s="5" t="str">
        <f aca="false">IF(G7=0,"-",IF(H7+N7=G7,"COMPLETED",IF(M7=G7,"NOT STARTED",IF(H7+I7+N7=G7,"BUILT - VERIFICATION PENDING","IN PROGRESS"&amp;IF(J7&gt;0," - "&amp;J7&amp;" BLOCKED","")&amp;IF(L7&gt;0," - "&amp;L7&amp;" in review","")))))</f>
        <v>BUILT - VERIFICATION PENDING</v>
      </c>
    </row>
    <row r="8" customFormat="false" ht="15" hidden="false" customHeight="false" outlineLevel="0" collapsed="false">
      <c r="A8" s="5" t="s">
        <v>10</v>
      </c>
      <c r="B8" s="5" t="s">
        <v>72</v>
      </c>
      <c r="C8" s="5" t="n">
        <v>3</v>
      </c>
      <c r="D8" s="6" t="s">
        <v>76</v>
      </c>
      <c r="E8" s="11" t="n">
        <f aca="false">IF(COUNTIFS('All Features'!$B$2:$B$423,$B8,'All Features'!$C$2:$C$423,$C8,'All Features'!$J$2:$J$423,"&gt;0")=0,"",_xlfn.MINIFS('All Features'!$J$2:$J$423,'All Features'!$B$2:$B$423,$B8,'All Features'!$C$2:$C$423,$C8))</f>
        <v>46289</v>
      </c>
      <c r="F8" s="11" t="n">
        <f aca="false">IF(COUNTIFS('All Features'!$B$2:$B$423,$B8,'All Features'!$C$2:$C$423,$C8,'All Features'!$J$2:$J$423,"&gt;0")=0,"",_xlfn.MAXIFS('All Features'!$J$2:$J$423,'All Features'!$B$2:$B$423,$B8,'All Features'!$C$2:$C$423,$C8))</f>
        <v>46302</v>
      </c>
      <c r="G8" s="5" t="n">
        <f aca="false">COUNTIFS('All Features'!$B$2:$B$423,$B8,'All Features'!$C$2:$C$423,$C8)</f>
        <v>14</v>
      </c>
      <c r="H8" s="5" t="n">
        <f aca="false">COUNTIFS('All Features'!$B$2:$B$423,$B8,'All Features'!$C$2:$C$423,$C8,'All Features'!$O$2:$O$423,"COMPLETED")</f>
        <v>11</v>
      </c>
      <c r="I8" s="5" t="n">
        <f aca="false">COUNTIFS('All Features'!$B$2:$B$423,$B8,'All Features'!$C$2:$C$423,$C8,'All Features'!$O$2:$O$423,"IMPLEMENTED BUT NOT VERIFIED")</f>
        <v>3</v>
      </c>
      <c r="J8" s="5" t="n">
        <f aca="false">COUNTIFS('All Features'!$B$2:$B$423,$B8,'All Features'!$C$2:$C$423,$C8,'All Features'!$O$2:$O$423,"BLOCKED")</f>
        <v>0</v>
      </c>
      <c r="K8" s="5" t="n">
        <f aca="false">COUNTIFS('All Features'!$B$2:$B$423,$B8,'All Features'!$C$2:$C$423,$C8,'All Features'!$O$2:$O$423,"IN PROGRESS")</f>
        <v>0</v>
      </c>
      <c r="L8" s="5" t="n">
        <f aca="false">COUNTIFS('All Features'!$B$2:$B$423,$B8,'All Features'!$C$2:$C$423,$C8,'All Features'!$O$2:$O$423,"IN REVIEW*")</f>
        <v>0</v>
      </c>
      <c r="M8" s="5" t="n">
        <f aca="false">COUNTIFS('All Features'!$B$2:$B$423,$B8,'All Features'!$C$2:$C$423,$C8,'All Features'!$O$2:$O$423,"NOT STARTED")</f>
        <v>0</v>
      </c>
      <c r="N8" s="5" t="n">
        <f aca="false">COUNTIFS('All Features'!$B$2:$B$423,$B8,'All Features'!$C$2:$C$423,$C8,'All Features'!$O$2:$O$423,"SUPERSEDED")</f>
        <v>0</v>
      </c>
      <c r="O8" s="5" t="n">
        <f aca="false">COUNTIFS('All Features'!$B$2:$B$423,$B8,'All Features'!$C$2:$C$423,$C8,'All Features'!$L$2:$L$423,"Yes")</f>
        <v>14</v>
      </c>
      <c r="P8" s="12" t="n">
        <f aca="false">IFERROR((H8+N8)/G8,0)</f>
        <v>0.785714285714286</v>
      </c>
      <c r="Q8" s="12" t="n">
        <f aca="false">IFERROR(AVERAGEIFS('All Features'!$Q$2:$Q$423,'All Features'!$B$2:$B$423,$B8,'All Features'!$C$2:$C$423,$C8),"")</f>
        <v>0.803571428571429</v>
      </c>
      <c r="R8" s="5" t="str">
        <f aca="false">IF(G8=0,"-",IF(H8+N8=G8,"COMPLETED",IF(M8=G8,"NOT STARTED",IF(H8+I8+N8=G8,"BUILT - VERIFICATION PENDING","IN PROGRESS"&amp;IF(J8&gt;0," - "&amp;J8&amp;" BLOCKED","")&amp;IF(L8&gt;0," - "&amp;L8&amp;" in review","")))))</f>
        <v>BUILT - VERIFICATION PENDING</v>
      </c>
    </row>
    <row r="9" customFormat="false" ht="15" hidden="false" customHeight="false" outlineLevel="0" collapsed="false">
      <c r="A9" s="5" t="s">
        <v>10</v>
      </c>
      <c r="B9" s="5" t="s">
        <v>72</v>
      </c>
      <c r="C9" s="5" t="n">
        <v>4</v>
      </c>
      <c r="D9" s="6" t="s">
        <v>77</v>
      </c>
      <c r="E9" s="11" t="n">
        <f aca="false">IF(COUNTIFS('All Features'!$B$2:$B$423,$B9,'All Features'!$C$2:$C$423,$C9,'All Features'!$J$2:$J$423,"&gt;0")=0,"",_xlfn.MINIFS('All Features'!$J$2:$J$423,'All Features'!$B$2:$B$423,$B9,'All Features'!$C$2:$C$423,$C9))</f>
        <v>46290</v>
      </c>
      <c r="F9" s="11" t="n">
        <f aca="false">IF(COUNTIFS('All Features'!$B$2:$B$423,$B9,'All Features'!$C$2:$C$423,$C9,'All Features'!$J$2:$J$423,"&gt;0")=0,"",_xlfn.MAXIFS('All Features'!$J$2:$J$423,'All Features'!$B$2:$B$423,$B9,'All Features'!$C$2:$C$423,$C9))</f>
        <v>46302</v>
      </c>
      <c r="G9" s="5" t="n">
        <f aca="false">COUNTIFS('All Features'!$B$2:$B$423,$B9,'All Features'!$C$2:$C$423,$C9)</f>
        <v>21</v>
      </c>
      <c r="H9" s="5" t="n">
        <f aca="false">COUNTIFS('All Features'!$B$2:$B$423,$B9,'All Features'!$C$2:$C$423,$C9,'All Features'!$O$2:$O$423,"COMPLETED")</f>
        <v>2</v>
      </c>
      <c r="I9" s="5" t="n">
        <f aca="false">COUNTIFS('All Features'!$B$2:$B$423,$B9,'All Features'!$C$2:$C$423,$C9,'All Features'!$O$2:$O$423,"IMPLEMENTED BUT NOT VERIFIED")</f>
        <v>18</v>
      </c>
      <c r="J9" s="5" t="n">
        <f aca="false">COUNTIFS('All Features'!$B$2:$B$423,$B9,'All Features'!$C$2:$C$423,$C9,'All Features'!$O$2:$O$423,"BLOCKED")</f>
        <v>1</v>
      </c>
      <c r="K9" s="5" t="n">
        <f aca="false">COUNTIFS('All Features'!$B$2:$B$423,$B9,'All Features'!$C$2:$C$423,$C9,'All Features'!$O$2:$O$423,"IN PROGRESS")</f>
        <v>0</v>
      </c>
      <c r="L9" s="5" t="n">
        <f aca="false">COUNTIFS('All Features'!$B$2:$B$423,$B9,'All Features'!$C$2:$C$423,$C9,'All Features'!$O$2:$O$423,"IN REVIEW*")</f>
        <v>0</v>
      </c>
      <c r="M9" s="5" t="n">
        <f aca="false">COUNTIFS('All Features'!$B$2:$B$423,$B9,'All Features'!$C$2:$C$423,$C9,'All Features'!$O$2:$O$423,"NOT STARTED")</f>
        <v>0</v>
      </c>
      <c r="N9" s="5" t="n">
        <f aca="false">COUNTIFS('All Features'!$B$2:$B$423,$B9,'All Features'!$C$2:$C$423,$C9,'All Features'!$O$2:$O$423,"SUPERSEDED")</f>
        <v>0</v>
      </c>
      <c r="O9" s="5" t="n">
        <f aca="false">COUNTIFS('All Features'!$B$2:$B$423,$B9,'All Features'!$C$2:$C$423,$C9,'All Features'!$L$2:$L$423,"Yes")</f>
        <v>21</v>
      </c>
      <c r="P9" s="12" t="n">
        <f aca="false">IFERROR((H9+N9)/G9,0)</f>
        <v>0.0952380952380952</v>
      </c>
      <c r="Q9" s="12" t="n">
        <f aca="false">IFERROR(AVERAGEIFS('All Features'!$Q$2:$Q$423,'All Features'!$B$2:$B$423,$B9,'All Features'!$C$2:$C$423,$C9),"")</f>
        <v>0.797619047619048</v>
      </c>
      <c r="R9" s="5" t="str">
        <f aca="false">IF(G9=0,"-",IF(H9+N9=G9,"COMPLETED",IF(M9=G9,"NOT STARTED",IF(H9+I9+N9=G9,"BUILT - VERIFICATION PENDING","IN PROGRESS"&amp;IF(J9&gt;0," - "&amp;J9&amp;" BLOCKED","")&amp;IF(L9&gt;0," - "&amp;L9&amp;" in review","")))))</f>
        <v>IN PROGRESS - 1 BLOCKED</v>
      </c>
    </row>
    <row r="10" customFormat="false" ht="15" hidden="false" customHeight="false" outlineLevel="0" collapsed="false">
      <c r="A10" s="5" t="s">
        <v>10</v>
      </c>
      <c r="B10" s="5" t="s">
        <v>72</v>
      </c>
      <c r="C10" s="5" t="n">
        <v>5</v>
      </c>
      <c r="D10" s="6" t="s">
        <v>78</v>
      </c>
      <c r="E10" s="11" t="n">
        <f aca="false">IF(COUNTIFS('All Features'!$B$2:$B$423,$B10,'All Features'!$C$2:$C$423,$C10,'All Features'!$J$2:$J$423,"&gt;0")=0,"",_xlfn.MINIFS('All Features'!$J$2:$J$423,'All Features'!$B$2:$B$423,$B10,'All Features'!$C$2:$C$423,$C10))</f>
        <v>46289</v>
      </c>
      <c r="F10" s="11" t="n">
        <f aca="false">IF(COUNTIFS('All Features'!$B$2:$B$423,$B10,'All Features'!$C$2:$C$423,$C10,'All Features'!$J$2:$J$423,"&gt;0")=0,"",_xlfn.MAXIFS('All Features'!$J$2:$J$423,'All Features'!$B$2:$B$423,$B10,'All Features'!$C$2:$C$423,$C10))</f>
        <v>46302</v>
      </c>
      <c r="G10" s="5" t="n">
        <f aca="false">COUNTIFS('All Features'!$B$2:$B$423,$B10,'All Features'!$C$2:$C$423,$C10)</f>
        <v>17</v>
      </c>
      <c r="H10" s="5" t="n">
        <f aca="false">COUNTIFS('All Features'!$B$2:$B$423,$B10,'All Features'!$C$2:$C$423,$C10,'All Features'!$O$2:$O$423,"COMPLETED")</f>
        <v>3</v>
      </c>
      <c r="I10" s="5" t="n">
        <f aca="false">COUNTIFS('All Features'!$B$2:$B$423,$B10,'All Features'!$C$2:$C$423,$C10,'All Features'!$O$2:$O$423,"IMPLEMENTED BUT NOT VERIFIED")</f>
        <v>14</v>
      </c>
      <c r="J10" s="5" t="n">
        <f aca="false">COUNTIFS('All Features'!$B$2:$B$423,$B10,'All Features'!$C$2:$C$423,$C10,'All Features'!$O$2:$O$423,"BLOCKED")</f>
        <v>0</v>
      </c>
      <c r="K10" s="5" t="n">
        <f aca="false">COUNTIFS('All Features'!$B$2:$B$423,$B10,'All Features'!$C$2:$C$423,$C10,'All Features'!$O$2:$O$423,"IN PROGRESS")</f>
        <v>0</v>
      </c>
      <c r="L10" s="5" t="n">
        <f aca="false">COUNTIFS('All Features'!$B$2:$B$423,$B10,'All Features'!$C$2:$C$423,$C10,'All Features'!$O$2:$O$423,"IN REVIEW*")</f>
        <v>0</v>
      </c>
      <c r="M10" s="5" t="n">
        <f aca="false">COUNTIFS('All Features'!$B$2:$B$423,$B10,'All Features'!$C$2:$C$423,$C10,'All Features'!$O$2:$O$423,"NOT STARTED")</f>
        <v>0</v>
      </c>
      <c r="N10" s="5" t="n">
        <f aca="false">COUNTIFS('All Features'!$B$2:$B$423,$B10,'All Features'!$C$2:$C$423,$C10,'All Features'!$O$2:$O$423,"SUPERSEDED")</f>
        <v>0</v>
      </c>
      <c r="O10" s="5" t="n">
        <f aca="false">COUNTIFS('All Features'!$B$2:$B$423,$B10,'All Features'!$C$2:$C$423,$C10,'All Features'!$L$2:$L$423,"Yes")</f>
        <v>17</v>
      </c>
      <c r="P10" s="12" t="n">
        <f aca="false">IFERROR((H10+N10)/G10,0)</f>
        <v>0.176470588235294</v>
      </c>
      <c r="Q10" s="12" t="n">
        <f aca="false">IFERROR(AVERAGEIFS('All Features'!$Q$2:$Q$423,'All Features'!$B$2:$B$423,$B10,'All Features'!$C$2:$C$423,$C10),"")</f>
        <v>0.835294117647059</v>
      </c>
      <c r="R10" s="5" t="str">
        <f aca="false">IF(G10=0,"-",IF(H10+N10=G10,"COMPLETED",IF(M10=G10,"NOT STARTED",IF(H10+I10+N10=G10,"BUILT - VERIFICATION PENDING","IN PROGRESS"&amp;IF(J10&gt;0," - "&amp;J10&amp;" BLOCKED","")&amp;IF(L10&gt;0," - "&amp;L10&amp;" in review","")))))</f>
        <v>BUILT - VERIFICATION PENDING</v>
      </c>
    </row>
    <row r="11" customFormat="false" ht="15" hidden="false" customHeight="false" outlineLevel="0" collapsed="false">
      <c r="A11" s="5" t="s">
        <v>10</v>
      </c>
      <c r="B11" s="5" t="s">
        <v>72</v>
      </c>
      <c r="C11" s="5" t="n">
        <v>6</v>
      </c>
      <c r="D11" s="6" t="s">
        <v>79</v>
      </c>
      <c r="E11" s="11" t="n">
        <f aca="false">IF(COUNTIFS('All Features'!$B$2:$B$423,$B11,'All Features'!$C$2:$C$423,$C11,'All Features'!$J$2:$J$423,"&gt;0")=0,"",_xlfn.MINIFS('All Features'!$J$2:$J$423,'All Features'!$B$2:$B$423,$B11,'All Features'!$C$2:$C$423,$C11))</f>
        <v>46296</v>
      </c>
      <c r="F11" s="11" t="n">
        <f aca="false">IF(COUNTIFS('All Features'!$B$2:$B$423,$B11,'All Features'!$C$2:$C$423,$C11,'All Features'!$J$2:$J$423,"&gt;0")=0,"",_xlfn.MAXIFS('All Features'!$J$2:$J$423,'All Features'!$B$2:$B$423,$B11,'All Features'!$C$2:$C$423,$C11))</f>
        <v>46302</v>
      </c>
      <c r="G11" s="5" t="n">
        <f aca="false">COUNTIFS('All Features'!$B$2:$B$423,$B11,'All Features'!$C$2:$C$423,$C11)</f>
        <v>11</v>
      </c>
      <c r="H11" s="5" t="n">
        <f aca="false">COUNTIFS('All Features'!$B$2:$B$423,$B11,'All Features'!$C$2:$C$423,$C11,'All Features'!$O$2:$O$423,"COMPLETED")</f>
        <v>0</v>
      </c>
      <c r="I11" s="5" t="n">
        <f aca="false">COUNTIFS('All Features'!$B$2:$B$423,$B11,'All Features'!$C$2:$C$423,$C11,'All Features'!$O$2:$O$423,"IMPLEMENTED BUT NOT VERIFIED")</f>
        <v>10</v>
      </c>
      <c r="J11" s="5" t="n">
        <f aca="false">COUNTIFS('All Features'!$B$2:$B$423,$B11,'All Features'!$C$2:$C$423,$C11,'All Features'!$O$2:$O$423,"BLOCKED")</f>
        <v>1</v>
      </c>
      <c r="K11" s="5" t="n">
        <f aca="false">COUNTIFS('All Features'!$B$2:$B$423,$B11,'All Features'!$C$2:$C$423,$C11,'All Features'!$O$2:$O$423,"IN PROGRESS")</f>
        <v>0</v>
      </c>
      <c r="L11" s="5" t="n">
        <f aca="false">COUNTIFS('All Features'!$B$2:$B$423,$B11,'All Features'!$C$2:$C$423,$C11,'All Features'!$O$2:$O$423,"IN REVIEW*")</f>
        <v>0</v>
      </c>
      <c r="M11" s="5" t="n">
        <f aca="false">COUNTIFS('All Features'!$B$2:$B$423,$B11,'All Features'!$C$2:$C$423,$C11,'All Features'!$O$2:$O$423,"NOT STARTED")</f>
        <v>0</v>
      </c>
      <c r="N11" s="5" t="n">
        <f aca="false">COUNTIFS('All Features'!$B$2:$B$423,$B11,'All Features'!$C$2:$C$423,$C11,'All Features'!$O$2:$O$423,"SUPERSEDED")</f>
        <v>0</v>
      </c>
      <c r="O11" s="5" t="n">
        <f aca="false">COUNTIFS('All Features'!$B$2:$B$423,$B11,'All Features'!$C$2:$C$423,$C11,'All Features'!$L$2:$L$423,"Yes")</f>
        <v>11</v>
      </c>
      <c r="P11" s="12" t="n">
        <f aca="false">IFERROR((H11+N11)/G11,0)</f>
        <v>0</v>
      </c>
      <c r="Q11" s="12" t="n">
        <f aca="false">IFERROR(AVERAGEIFS('All Features'!$Q$2:$Q$423,'All Features'!$B$2:$B$423,$B11,'All Features'!$C$2:$C$423,$C11),"")</f>
        <v>0.836363636363636</v>
      </c>
      <c r="R11" s="5" t="str">
        <f aca="false">IF(G11=0,"-",IF(H11+N11=G11,"COMPLETED",IF(M11=G11,"NOT STARTED",IF(H11+I11+N11=G11,"BUILT - VERIFICATION PENDING","IN PROGRESS"&amp;IF(J11&gt;0," - "&amp;J11&amp;" BLOCKED","")&amp;IF(L11&gt;0," - "&amp;L11&amp;" in review","")))))</f>
        <v>IN PROGRESS - 1 BLOCKED</v>
      </c>
    </row>
    <row r="12" customFormat="false" ht="15" hidden="false" customHeight="false" outlineLevel="0" collapsed="false">
      <c r="A12" s="5" t="s">
        <v>10</v>
      </c>
      <c r="B12" s="5" t="s">
        <v>72</v>
      </c>
      <c r="C12" s="5" t="n">
        <v>7</v>
      </c>
      <c r="D12" s="6" t="s">
        <v>80</v>
      </c>
      <c r="E12" s="11" t="n">
        <f aca="false">IF(COUNTIFS('All Features'!$B$2:$B$423,$B12,'All Features'!$C$2:$C$423,$C12,'All Features'!$J$2:$J$423,"&gt;0")=0,"",_xlfn.MINIFS('All Features'!$J$2:$J$423,'All Features'!$B$2:$B$423,$B12,'All Features'!$C$2:$C$423,$C12))</f>
        <v>46296</v>
      </c>
      <c r="F12" s="11" t="n">
        <f aca="false">IF(COUNTIFS('All Features'!$B$2:$B$423,$B12,'All Features'!$C$2:$C$423,$C12,'All Features'!$J$2:$J$423,"&gt;0")=0,"",_xlfn.MAXIFS('All Features'!$J$2:$J$423,'All Features'!$B$2:$B$423,$B12,'All Features'!$C$2:$C$423,$C12))</f>
        <v>46302</v>
      </c>
      <c r="G12" s="5" t="n">
        <f aca="false">COUNTIFS('All Features'!$B$2:$B$423,$B12,'All Features'!$C$2:$C$423,$C12)</f>
        <v>19</v>
      </c>
      <c r="H12" s="5" t="n">
        <f aca="false">COUNTIFS('All Features'!$B$2:$B$423,$B12,'All Features'!$C$2:$C$423,$C12,'All Features'!$O$2:$O$423,"COMPLETED")</f>
        <v>0</v>
      </c>
      <c r="I12" s="5" t="n">
        <f aca="false">COUNTIFS('All Features'!$B$2:$B$423,$B12,'All Features'!$C$2:$C$423,$C12,'All Features'!$O$2:$O$423,"IMPLEMENTED BUT NOT VERIFIED")</f>
        <v>19</v>
      </c>
      <c r="J12" s="5" t="n">
        <f aca="false">COUNTIFS('All Features'!$B$2:$B$423,$B12,'All Features'!$C$2:$C$423,$C12,'All Features'!$O$2:$O$423,"BLOCKED")</f>
        <v>0</v>
      </c>
      <c r="K12" s="5" t="n">
        <f aca="false">COUNTIFS('All Features'!$B$2:$B$423,$B12,'All Features'!$C$2:$C$423,$C12,'All Features'!$O$2:$O$423,"IN PROGRESS")</f>
        <v>0</v>
      </c>
      <c r="L12" s="5" t="n">
        <f aca="false">COUNTIFS('All Features'!$B$2:$B$423,$B12,'All Features'!$C$2:$C$423,$C12,'All Features'!$O$2:$O$423,"IN REVIEW*")</f>
        <v>0</v>
      </c>
      <c r="M12" s="5" t="n">
        <f aca="false">COUNTIFS('All Features'!$B$2:$B$423,$B12,'All Features'!$C$2:$C$423,$C12,'All Features'!$O$2:$O$423,"NOT STARTED")</f>
        <v>0</v>
      </c>
      <c r="N12" s="5" t="n">
        <f aca="false">COUNTIFS('All Features'!$B$2:$B$423,$B12,'All Features'!$C$2:$C$423,$C12,'All Features'!$O$2:$O$423,"SUPERSEDED")</f>
        <v>0</v>
      </c>
      <c r="O12" s="5" t="n">
        <f aca="false">COUNTIFS('All Features'!$B$2:$B$423,$B12,'All Features'!$C$2:$C$423,$C12,'All Features'!$L$2:$L$423,"Yes")</f>
        <v>19</v>
      </c>
      <c r="P12" s="12" t="n">
        <f aca="false">IFERROR((H12+N12)/G12,0)</f>
        <v>0</v>
      </c>
      <c r="Q12" s="12" t="n">
        <f aca="false">IFERROR(AVERAGEIFS('All Features'!$Q$2:$Q$423,'All Features'!$B$2:$B$423,$B12,'All Features'!$C$2:$C$423,$C12),"")</f>
        <v>0.786842105263158</v>
      </c>
      <c r="R12" s="5" t="str">
        <f aca="false">IF(G12=0,"-",IF(H12+N12=G12,"COMPLETED",IF(M12=G12,"NOT STARTED",IF(H12+I12+N12=G12,"BUILT - VERIFICATION PENDING","IN PROGRESS"&amp;IF(J12&gt;0," - "&amp;J12&amp;" BLOCKED","")&amp;IF(L12&gt;0," - "&amp;L12&amp;" in review","")))))</f>
        <v>BUILT - VERIFICATION PENDING</v>
      </c>
    </row>
    <row r="13" customFormat="false" ht="15" hidden="false" customHeight="false" outlineLevel="0" collapsed="false">
      <c r="A13" s="5" t="s">
        <v>10</v>
      </c>
      <c r="B13" s="5" t="s">
        <v>72</v>
      </c>
      <c r="C13" s="5" t="n">
        <v>8</v>
      </c>
      <c r="D13" s="6" t="s">
        <v>81</v>
      </c>
      <c r="E13" s="11" t="n">
        <f aca="false">IF(COUNTIFS('All Features'!$B$2:$B$423,$B13,'All Features'!$C$2:$C$423,$C13,'All Features'!$J$2:$J$423,"&gt;0")=0,"",_xlfn.MINIFS('All Features'!$J$2:$J$423,'All Features'!$B$2:$B$423,$B13,'All Features'!$C$2:$C$423,$C13))</f>
        <v>46290</v>
      </c>
      <c r="F13" s="11" t="n">
        <f aca="false">IF(COUNTIFS('All Features'!$B$2:$B$423,$B13,'All Features'!$C$2:$C$423,$C13,'All Features'!$J$2:$J$423,"&gt;0")=0,"",_xlfn.MAXIFS('All Features'!$J$2:$J$423,'All Features'!$B$2:$B$423,$B13,'All Features'!$C$2:$C$423,$C13))</f>
        <v>46302</v>
      </c>
      <c r="G13" s="5" t="n">
        <f aca="false">COUNTIFS('All Features'!$B$2:$B$423,$B13,'All Features'!$C$2:$C$423,$C13)</f>
        <v>14</v>
      </c>
      <c r="H13" s="5" t="n">
        <f aca="false">COUNTIFS('All Features'!$B$2:$B$423,$B13,'All Features'!$C$2:$C$423,$C13,'All Features'!$O$2:$O$423,"COMPLETED")</f>
        <v>6</v>
      </c>
      <c r="I13" s="5" t="n">
        <f aca="false">COUNTIFS('All Features'!$B$2:$B$423,$B13,'All Features'!$C$2:$C$423,$C13,'All Features'!$O$2:$O$423,"IMPLEMENTED BUT NOT VERIFIED")</f>
        <v>8</v>
      </c>
      <c r="J13" s="5" t="n">
        <f aca="false">COUNTIFS('All Features'!$B$2:$B$423,$B13,'All Features'!$C$2:$C$423,$C13,'All Features'!$O$2:$O$423,"BLOCKED")</f>
        <v>0</v>
      </c>
      <c r="K13" s="5" t="n">
        <f aca="false">COUNTIFS('All Features'!$B$2:$B$423,$B13,'All Features'!$C$2:$C$423,$C13,'All Features'!$O$2:$O$423,"IN PROGRESS")</f>
        <v>0</v>
      </c>
      <c r="L13" s="5" t="n">
        <f aca="false">COUNTIFS('All Features'!$B$2:$B$423,$B13,'All Features'!$C$2:$C$423,$C13,'All Features'!$O$2:$O$423,"IN REVIEW*")</f>
        <v>0</v>
      </c>
      <c r="M13" s="5" t="n">
        <f aca="false">COUNTIFS('All Features'!$B$2:$B$423,$B13,'All Features'!$C$2:$C$423,$C13,'All Features'!$O$2:$O$423,"NOT STARTED")</f>
        <v>0</v>
      </c>
      <c r="N13" s="5" t="n">
        <f aca="false">COUNTIFS('All Features'!$B$2:$B$423,$B13,'All Features'!$C$2:$C$423,$C13,'All Features'!$O$2:$O$423,"SUPERSEDED")</f>
        <v>0</v>
      </c>
      <c r="O13" s="5" t="n">
        <f aca="false">COUNTIFS('All Features'!$B$2:$B$423,$B13,'All Features'!$C$2:$C$423,$C13,'All Features'!$L$2:$L$423,"Yes")</f>
        <v>14</v>
      </c>
      <c r="P13" s="12" t="n">
        <f aca="false">IFERROR((H13+N13)/G13,0)</f>
        <v>0.428571428571429</v>
      </c>
      <c r="Q13" s="12" t="n">
        <f aca="false">IFERROR(AVERAGEIFS('All Features'!$Q$2:$Q$423,'All Features'!$B$2:$B$423,$B13,'All Features'!$C$2:$C$423,$C13),"")</f>
        <v>0.846428571428571</v>
      </c>
      <c r="R13" s="5" t="str">
        <f aca="false">IF(G13=0,"-",IF(H13+N13=G13,"COMPLETED",IF(M13=G13,"NOT STARTED",IF(H13+I13+N13=G13,"BUILT - VERIFICATION PENDING","IN PROGRESS"&amp;IF(J13&gt;0," - "&amp;J13&amp;" BLOCKED","")&amp;IF(L13&gt;0," - "&amp;L13&amp;" in review","")))))</f>
        <v>BUILT - VERIFICATION PENDING</v>
      </c>
    </row>
    <row r="14" customFormat="false" ht="15" hidden="false" customHeight="false" outlineLevel="0" collapsed="false">
      <c r="A14" s="5" t="s">
        <v>10</v>
      </c>
      <c r="B14" s="5" t="s">
        <v>72</v>
      </c>
      <c r="C14" s="5" t="n">
        <v>9</v>
      </c>
      <c r="D14" s="6" t="s">
        <v>82</v>
      </c>
      <c r="E14" s="11" t="n">
        <f aca="false">IF(COUNTIFS('All Features'!$B$2:$B$423,$B14,'All Features'!$C$2:$C$423,$C14,'All Features'!$J$2:$J$423,"&gt;0")=0,"",_xlfn.MINIFS('All Features'!$J$2:$J$423,'All Features'!$B$2:$B$423,$B14,'All Features'!$C$2:$C$423,$C14))</f>
        <v>46290</v>
      </c>
      <c r="F14" s="11" t="n">
        <f aca="false">IF(COUNTIFS('All Features'!$B$2:$B$423,$B14,'All Features'!$C$2:$C$423,$C14,'All Features'!$J$2:$J$423,"&gt;0")=0,"",_xlfn.MAXIFS('All Features'!$J$2:$J$423,'All Features'!$B$2:$B$423,$B14,'All Features'!$C$2:$C$423,$C14))</f>
        <v>46302</v>
      </c>
      <c r="G14" s="5" t="n">
        <f aca="false">COUNTIFS('All Features'!$B$2:$B$423,$B14,'All Features'!$C$2:$C$423,$C14)</f>
        <v>29</v>
      </c>
      <c r="H14" s="5" t="n">
        <f aca="false">COUNTIFS('All Features'!$B$2:$B$423,$B14,'All Features'!$C$2:$C$423,$C14,'All Features'!$O$2:$O$423,"COMPLETED")</f>
        <v>2</v>
      </c>
      <c r="I14" s="5" t="n">
        <f aca="false">COUNTIFS('All Features'!$B$2:$B$423,$B14,'All Features'!$C$2:$C$423,$C14,'All Features'!$O$2:$O$423,"IMPLEMENTED BUT NOT VERIFIED")</f>
        <v>22</v>
      </c>
      <c r="J14" s="5" t="n">
        <f aca="false">COUNTIFS('All Features'!$B$2:$B$423,$B14,'All Features'!$C$2:$C$423,$C14,'All Features'!$O$2:$O$423,"BLOCKED")</f>
        <v>5</v>
      </c>
      <c r="K14" s="5" t="n">
        <f aca="false">COUNTIFS('All Features'!$B$2:$B$423,$B14,'All Features'!$C$2:$C$423,$C14,'All Features'!$O$2:$O$423,"IN PROGRESS")</f>
        <v>0</v>
      </c>
      <c r="L14" s="5" t="n">
        <f aca="false">COUNTIFS('All Features'!$B$2:$B$423,$B14,'All Features'!$C$2:$C$423,$C14,'All Features'!$O$2:$O$423,"IN REVIEW*")</f>
        <v>0</v>
      </c>
      <c r="M14" s="5" t="n">
        <f aca="false">COUNTIFS('All Features'!$B$2:$B$423,$B14,'All Features'!$C$2:$C$423,$C14,'All Features'!$O$2:$O$423,"NOT STARTED")</f>
        <v>0</v>
      </c>
      <c r="N14" s="5" t="n">
        <f aca="false">COUNTIFS('All Features'!$B$2:$B$423,$B14,'All Features'!$C$2:$C$423,$C14,'All Features'!$O$2:$O$423,"SUPERSEDED")</f>
        <v>0</v>
      </c>
      <c r="O14" s="5" t="n">
        <f aca="false">COUNTIFS('All Features'!$B$2:$B$423,$B14,'All Features'!$C$2:$C$423,$C14,'All Features'!$L$2:$L$423,"Yes")</f>
        <v>29</v>
      </c>
      <c r="P14" s="12" t="n">
        <f aca="false">IFERROR((H14+N14)/G14,0)</f>
        <v>0.0689655172413793</v>
      </c>
      <c r="Q14" s="12" t="n">
        <f aca="false">IFERROR(AVERAGEIFS('All Features'!$Q$2:$Q$423,'All Features'!$B$2:$B$423,$B14,'All Features'!$C$2:$C$423,$C14),"")</f>
        <v>0.736206896551724</v>
      </c>
      <c r="R14" s="5" t="str">
        <f aca="false">IF(G14=0,"-",IF(H14+N14=G14,"COMPLETED",IF(M14=G14,"NOT STARTED",IF(H14+I14+N14=G14,"BUILT - VERIFICATION PENDING","IN PROGRESS"&amp;IF(J14&gt;0," - "&amp;J14&amp;" BLOCKED","")&amp;IF(L14&gt;0," - "&amp;L14&amp;" in review","")))))</f>
        <v>IN PROGRESS - 5 BLOCKED</v>
      </c>
    </row>
    <row r="15" customFormat="false" ht="15" hidden="false" customHeight="false" outlineLevel="0" collapsed="false">
      <c r="A15" s="5" t="s">
        <v>10</v>
      </c>
      <c r="B15" s="5" t="s">
        <v>72</v>
      </c>
      <c r="C15" s="5" t="n">
        <v>10</v>
      </c>
      <c r="D15" s="6" t="s">
        <v>83</v>
      </c>
      <c r="E15" s="11" t="n">
        <f aca="false">IF(COUNTIFS('All Features'!$B$2:$B$423,$B15,'All Features'!$C$2:$C$423,$C15,'All Features'!$J$2:$J$423,"&gt;0")=0,"",_xlfn.MINIFS('All Features'!$J$2:$J$423,'All Features'!$B$2:$B$423,$B15,'All Features'!$C$2:$C$423,$C15))</f>
        <v>46291</v>
      </c>
      <c r="F15" s="11" t="n">
        <f aca="false">IF(COUNTIFS('All Features'!$B$2:$B$423,$B15,'All Features'!$C$2:$C$423,$C15,'All Features'!$J$2:$J$423,"&gt;0")=0,"",_xlfn.MAXIFS('All Features'!$J$2:$J$423,'All Features'!$B$2:$B$423,$B15,'All Features'!$C$2:$C$423,$C15))</f>
        <v>46302</v>
      </c>
      <c r="G15" s="5" t="n">
        <f aca="false">COUNTIFS('All Features'!$B$2:$B$423,$B15,'All Features'!$C$2:$C$423,$C15)</f>
        <v>11</v>
      </c>
      <c r="H15" s="5" t="n">
        <f aca="false">COUNTIFS('All Features'!$B$2:$B$423,$B15,'All Features'!$C$2:$C$423,$C15,'All Features'!$O$2:$O$423,"COMPLETED")</f>
        <v>0</v>
      </c>
      <c r="I15" s="5" t="n">
        <f aca="false">COUNTIFS('All Features'!$B$2:$B$423,$B15,'All Features'!$C$2:$C$423,$C15,'All Features'!$O$2:$O$423,"IMPLEMENTED BUT NOT VERIFIED")</f>
        <v>9</v>
      </c>
      <c r="J15" s="5" t="n">
        <f aca="false">COUNTIFS('All Features'!$B$2:$B$423,$B15,'All Features'!$C$2:$C$423,$C15,'All Features'!$O$2:$O$423,"BLOCKED")</f>
        <v>1</v>
      </c>
      <c r="K15" s="5" t="n">
        <f aca="false">COUNTIFS('All Features'!$B$2:$B$423,$B15,'All Features'!$C$2:$C$423,$C15,'All Features'!$O$2:$O$423,"IN PROGRESS")</f>
        <v>1</v>
      </c>
      <c r="L15" s="5" t="n">
        <f aca="false">COUNTIFS('All Features'!$B$2:$B$423,$B15,'All Features'!$C$2:$C$423,$C15,'All Features'!$O$2:$O$423,"IN REVIEW*")</f>
        <v>0</v>
      </c>
      <c r="M15" s="5" t="n">
        <f aca="false">COUNTIFS('All Features'!$B$2:$B$423,$B15,'All Features'!$C$2:$C$423,$C15,'All Features'!$O$2:$O$423,"NOT STARTED")</f>
        <v>0</v>
      </c>
      <c r="N15" s="5" t="n">
        <f aca="false">COUNTIFS('All Features'!$B$2:$B$423,$B15,'All Features'!$C$2:$C$423,$C15,'All Features'!$O$2:$O$423,"SUPERSEDED")</f>
        <v>0</v>
      </c>
      <c r="O15" s="5" t="n">
        <f aca="false">COUNTIFS('All Features'!$B$2:$B$423,$B15,'All Features'!$C$2:$C$423,$C15,'All Features'!$L$2:$L$423,"Yes")</f>
        <v>11</v>
      </c>
      <c r="P15" s="12" t="n">
        <f aca="false">IFERROR((H15+N15)/G15,0)</f>
        <v>0</v>
      </c>
      <c r="Q15" s="12" t="n">
        <f aca="false">IFERROR(AVERAGEIFS('All Features'!$Q$2:$Q$423,'All Features'!$B$2:$B$423,$B15,'All Features'!$C$2:$C$423,$C15),"")</f>
        <v>0.804545454545455</v>
      </c>
      <c r="R15" s="5" t="str">
        <f aca="false">IF(G15=0,"-",IF(H15+N15=G15,"COMPLETED",IF(M15=G15,"NOT STARTED",IF(H15+I15+N15=G15,"BUILT - VERIFICATION PENDING","IN PROGRESS"&amp;IF(J15&gt;0," - "&amp;J15&amp;" BLOCKED","")&amp;IF(L15&gt;0," - "&amp;L15&amp;" in review","")))))</f>
        <v>IN PROGRESS - 1 BLOCKED</v>
      </c>
    </row>
    <row r="16" customFormat="false" ht="15" hidden="false" customHeight="false" outlineLevel="0" collapsed="false">
      <c r="A16" s="5" t="s">
        <v>10</v>
      </c>
      <c r="B16" s="5" t="s">
        <v>72</v>
      </c>
      <c r="C16" s="5" t="n">
        <v>11</v>
      </c>
      <c r="D16" s="6" t="s">
        <v>84</v>
      </c>
      <c r="E16" s="11" t="n">
        <f aca="false">IF(COUNTIFS('All Features'!$B$2:$B$423,$B16,'All Features'!$C$2:$C$423,$C16,'All Features'!$J$2:$J$423,"&gt;0")=0,"",_xlfn.MINIFS('All Features'!$J$2:$J$423,'All Features'!$B$2:$B$423,$B16,'All Features'!$C$2:$C$423,$C16))</f>
        <v>46302</v>
      </c>
      <c r="F16" s="11" t="n">
        <f aca="false">IF(COUNTIFS('All Features'!$B$2:$B$423,$B16,'All Features'!$C$2:$C$423,$C16,'All Features'!$J$2:$J$423,"&gt;0")=0,"",_xlfn.MAXIFS('All Features'!$J$2:$J$423,'All Features'!$B$2:$B$423,$B16,'All Features'!$C$2:$C$423,$C16))</f>
        <v>46302</v>
      </c>
      <c r="G16" s="5" t="n">
        <f aca="false">COUNTIFS('All Features'!$B$2:$B$423,$B16,'All Features'!$C$2:$C$423,$C16)</f>
        <v>54</v>
      </c>
      <c r="H16" s="5" t="n">
        <f aca="false">COUNTIFS('All Features'!$B$2:$B$423,$B16,'All Features'!$C$2:$C$423,$C16,'All Features'!$O$2:$O$423,"COMPLETED")</f>
        <v>0</v>
      </c>
      <c r="I16" s="5" t="n">
        <f aca="false">COUNTIFS('All Features'!$B$2:$B$423,$B16,'All Features'!$C$2:$C$423,$C16,'All Features'!$O$2:$O$423,"IMPLEMENTED BUT NOT VERIFIED")</f>
        <v>53</v>
      </c>
      <c r="J16" s="5" t="n">
        <f aca="false">COUNTIFS('All Features'!$B$2:$B$423,$B16,'All Features'!$C$2:$C$423,$C16,'All Features'!$O$2:$O$423,"BLOCKED")</f>
        <v>1</v>
      </c>
      <c r="K16" s="5" t="n">
        <f aca="false">COUNTIFS('All Features'!$B$2:$B$423,$B16,'All Features'!$C$2:$C$423,$C16,'All Features'!$O$2:$O$423,"IN PROGRESS")</f>
        <v>0</v>
      </c>
      <c r="L16" s="5" t="n">
        <f aca="false">COUNTIFS('All Features'!$B$2:$B$423,$B16,'All Features'!$C$2:$C$423,$C16,'All Features'!$O$2:$O$423,"IN REVIEW*")</f>
        <v>0</v>
      </c>
      <c r="M16" s="5" t="n">
        <f aca="false">COUNTIFS('All Features'!$B$2:$B$423,$B16,'All Features'!$C$2:$C$423,$C16,'All Features'!$O$2:$O$423,"NOT STARTED")</f>
        <v>0</v>
      </c>
      <c r="N16" s="5" t="n">
        <f aca="false">COUNTIFS('All Features'!$B$2:$B$423,$B16,'All Features'!$C$2:$C$423,$C16,'All Features'!$O$2:$O$423,"SUPERSEDED")</f>
        <v>0</v>
      </c>
      <c r="O16" s="5" t="n">
        <f aca="false">COUNTIFS('All Features'!$B$2:$B$423,$B16,'All Features'!$C$2:$C$423,$C16,'All Features'!$L$2:$L$423,"Yes")</f>
        <v>54</v>
      </c>
      <c r="P16" s="12" t="n">
        <f aca="false">IFERROR((H16+N16)/G16,0)</f>
        <v>0</v>
      </c>
      <c r="Q16" s="12" t="n">
        <f aca="false">IFERROR(AVERAGEIFS('All Features'!$Q$2:$Q$423,'All Features'!$B$2:$B$423,$B16,'All Features'!$C$2:$C$423,$C16),"")</f>
        <v>0.847222222222222</v>
      </c>
      <c r="R16" s="5" t="str">
        <f aca="false">IF(G16=0,"-",IF(H16+N16=G16,"COMPLETED",IF(M16=G16,"NOT STARTED",IF(H16+I16+N16=G16,"BUILT - VERIFICATION PENDING","IN PROGRESS"&amp;IF(J16&gt;0," - "&amp;J16&amp;" BLOCKED","")&amp;IF(L16&gt;0," - "&amp;L16&amp;" in review","")))))</f>
        <v>IN PROGRESS - 1 BLOCKED</v>
      </c>
    </row>
    <row r="17" customFormat="false" ht="23.85" hidden="false" customHeight="false" outlineLevel="0" collapsed="false">
      <c r="A17" s="5" t="s">
        <v>10</v>
      </c>
      <c r="B17" s="5" t="s">
        <v>72</v>
      </c>
      <c r="C17" s="5" t="n">
        <v>12</v>
      </c>
      <c r="D17" s="6" t="s">
        <v>85</v>
      </c>
      <c r="E17" s="11" t="n">
        <f aca="false">IF(COUNTIFS('All Features'!$B$2:$B$423,$B17,'All Features'!$C$2:$C$423,$C17,'All Features'!$J$2:$J$423,"&gt;0")=0,"",_xlfn.MINIFS('All Features'!$J$2:$J$423,'All Features'!$B$2:$B$423,$B17,'All Features'!$C$2:$C$423,$C17))</f>
        <v>46298</v>
      </c>
      <c r="F17" s="11" t="n">
        <f aca="false">IF(COUNTIFS('All Features'!$B$2:$B$423,$B17,'All Features'!$C$2:$C$423,$C17,'All Features'!$J$2:$J$423,"&gt;0")=0,"",_xlfn.MAXIFS('All Features'!$J$2:$J$423,'All Features'!$B$2:$B$423,$B17,'All Features'!$C$2:$C$423,$C17))</f>
        <v>46303</v>
      </c>
      <c r="G17" s="5" t="n">
        <f aca="false">COUNTIFS('All Features'!$B$2:$B$423,$B17,'All Features'!$C$2:$C$423,$C17)</f>
        <v>6</v>
      </c>
      <c r="H17" s="5" t="n">
        <f aca="false">COUNTIFS('All Features'!$B$2:$B$423,$B17,'All Features'!$C$2:$C$423,$C17,'All Features'!$O$2:$O$423,"COMPLETED")</f>
        <v>4</v>
      </c>
      <c r="I17" s="5" t="n">
        <f aca="false">COUNTIFS('All Features'!$B$2:$B$423,$B17,'All Features'!$C$2:$C$423,$C17,'All Features'!$O$2:$O$423,"IMPLEMENTED BUT NOT VERIFIED")</f>
        <v>2</v>
      </c>
      <c r="J17" s="5" t="n">
        <f aca="false">COUNTIFS('All Features'!$B$2:$B$423,$B17,'All Features'!$C$2:$C$423,$C17,'All Features'!$O$2:$O$423,"BLOCKED")</f>
        <v>0</v>
      </c>
      <c r="K17" s="5" t="n">
        <f aca="false">COUNTIFS('All Features'!$B$2:$B$423,$B17,'All Features'!$C$2:$C$423,$C17,'All Features'!$O$2:$O$423,"IN PROGRESS")</f>
        <v>0</v>
      </c>
      <c r="L17" s="5" t="n">
        <f aca="false">COUNTIFS('All Features'!$B$2:$B$423,$B17,'All Features'!$C$2:$C$423,$C17,'All Features'!$O$2:$O$423,"IN REVIEW*")</f>
        <v>0</v>
      </c>
      <c r="M17" s="5" t="n">
        <f aca="false">COUNTIFS('All Features'!$B$2:$B$423,$B17,'All Features'!$C$2:$C$423,$C17,'All Features'!$O$2:$O$423,"NOT STARTED")</f>
        <v>0</v>
      </c>
      <c r="N17" s="5" t="n">
        <f aca="false">COUNTIFS('All Features'!$B$2:$B$423,$B17,'All Features'!$C$2:$C$423,$C17,'All Features'!$O$2:$O$423,"SUPERSEDED")</f>
        <v>0</v>
      </c>
      <c r="O17" s="5" t="n">
        <f aca="false">COUNTIFS('All Features'!$B$2:$B$423,$B17,'All Features'!$C$2:$C$423,$C17,'All Features'!$L$2:$L$423,"Yes")</f>
        <v>6</v>
      </c>
      <c r="P17" s="12" t="n">
        <f aca="false">IFERROR((H17+N17)/G17,0)</f>
        <v>0.666666666666667</v>
      </c>
      <c r="Q17" s="12" t="n">
        <f aca="false">IFERROR(AVERAGEIFS('All Features'!$Q$2:$Q$423,'All Features'!$B$2:$B$423,$B17,'All Features'!$C$2:$C$423,$C17),"")</f>
        <v>1</v>
      </c>
      <c r="R17" s="5" t="str">
        <f aca="false">IF(G17=0,"-",IF(H17+N17=G17,"COMPLETED",IF(M17=G17,"NOT STARTED",IF(H17+I17+N17=G17,"BUILT - VERIFICATION PENDING","IN PROGRESS"&amp;IF(J17&gt;0," - "&amp;J17&amp;" BLOCKED","")&amp;IF(L17&gt;0," - "&amp;L17&amp;" in review","")))))</f>
        <v>BUILT - VERIFICATION PENDING</v>
      </c>
    </row>
    <row r="18" customFormat="false" ht="15" hidden="false" customHeight="false" outlineLevel="0" collapsed="false">
      <c r="A18" s="5" t="s">
        <v>17</v>
      </c>
      <c r="B18" s="5" t="s">
        <v>86</v>
      </c>
      <c r="C18" s="5" t="n">
        <v>1</v>
      </c>
      <c r="D18" s="6" t="s">
        <v>87</v>
      </c>
      <c r="E18" s="11" t="n">
        <f aca="false">IF(COUNTIFS('All Features'!$B$2:$B$423,$B18,'All Features'!$C$2:$C$423,$C18,'All Features'!$J$2:$J$423,"&gt;0")=0,"",_xlfn.MINIFS('All Features'!$J$2:$J$423,'All Features'!$B$2:$B$423,$B18,'All Features'!$C$2:$C$423,$C18))</f>
        <v>46253</v>
      </c>
      <c r="F18" s="11" t="n">
        <f aca="false">IF(COUNTIFS('All Features'!$B$2:$B$423,$B18,'All Features'!$C$2:$C$423,$C18,'All Features'!$J$2:$J$423,"&gt;0")=0,"",_xlfn.MAXIFS('All Features'!$J$2:$J$423,'All Features'!$B$2:$B$423,$B18,'All Features'!$C$2:$C$423,$C18))</f>
        <v>46253</v>
      </c>
      <c r="G18" s="5" t="n">
        <f aca="false">COUNTIFS('All Features'!$B$2:$B$423,$B18,'All Features'!$C$2:$C$423,$C18)</f>
        <v>10</v>
      </c>
      <c r="H18" s="5" t="n">
        <f aca="false">COUNTIFS('All Features'!$B$2:$B$423,$B18,'All Features'!$C$2:$C$423,$C18,'All Features'!$O$2:$O$423,"COMPLETED")</f>
        <v>10</v>
      </c>
      <c r="I18" s="5" t="n">
        <f aca="false">COUNTIFS('All Features'!$B$2:$B$423,$B18,'All Features'!$C$2:$C$423,$C18,'All Features'!$O$2:$O$423,"IMPLEMENTED BUT NOT VERIFIED")</f>
        <v>0</v>
      </c>
      <c r="J18" s="5" t="n">
        <f aca="false">COUNTIFS('All Features'!$B$2:$B$423,$B18,'All Features'!$C$2:$C$423,$C18,'All Features'!$O$2:$O$423,"BLOCKED")</f>
        <v>0</v>
      </c>
      <c r="K18" s="5" t="n">
        <f aca="false">COUNTIFS('All Features'!$B$2:$B$423,$B18,'All Features'!$C$2:$C$423,$C18,'All Features'!$O$2:$O$423,"IN PROGRESS")</f>
        <v>0</v>
      </c>
      <c r="L18" s="5" t="n">
        <f aca="false">COUNTIFS('All Features'!$B$2:$B$423,$B18,'All Features'!$C$2:$C$423,$C18,'All Features'!$O$2:$O$423,"IN REVIEW*")</f>
        <v>0</v>
      </c>
      <c r="M18" s="5" t="n">
        <f aca="false">COUNTIFS('All Features'!$B$2:$B$423,$B18,'All Features'!$C$2:$C$423,$C18,'All Features'!$O$2:$O$423,"NOT STARTED")</f>
        <v>0</v>
      </c>
      <c r="N18" s="5" t="n">
        <f aca="false">COUNTIFS('All Features'!$B$2:$B$423,$B18,'All Features'!$C$2:$C$423,$C18,'All Features'!$O$2:$O$423,"SUPERSEDED")</f>
        <v>0</v>
      </c>
      <c r="O18" s="5" t="n">
        <f aca="false">COUNTIFS('All Features'!$B$2:$B$423,$B18,'All Features'!$C$2:$C$423,$C18,'All Features'!$L$2:$L$423,"Yes")</f>
        <v>10</v>
      </c>
      <c r="P18" s="12" t="n">
        <f aca="false">IFERROR((H18+N18)/G18,0)</f>
        <v>1</v>
      </c>
      <c r="Q18" s="12" t="n">
        <f aca="false">IFERROR(AVERAGEIFS('All Features'!$Q$2:$Q$423,'All Features'!$B$2:$B$423,$B18,'All Features'!$C$2:$C$423,$C18),"")</f>
        <v>1</v>
      </c>
      <c r="R18" s="5" t="str">
        <f aca="false">IF(G18=0,"-",IF(H18+N18=G18,"COMPLETED",IF(M18=G18,"NOT STARTED",IF(H18+I18+N18=G18,"BUILT - VERIFICATION PENDING","IN PROGRESS"&amp;IF(J18&gt;0," - "&amp;J18&amp;" BLOCKED","")&amp;IF(L18&gt;0," - "&amp;L18&amp;" in review","")))))</f>
        <v>COMPLETED</v>
      </c>
    </row>
    <row r="19" customFormat="false" ht="23.85" hidden="false" customHeight="false" outlineLevel="0" collapsed="false">
      <c r="A19" s="5" t="s">
        <v>17</v>
      </c>
      <c r="B19" s="5" t="s">
        <v>86</v>
      </c>
      <c r="C19" s="5" t="n">
        <v>2</v>
      </c>
      <c r="D19" s="6" t="s">
        <v>88</v>
      </c>
      <c r="E19" s="11" t="n">
        <f aca="false">IF(COUNTIFS('All Features'!$B$2:$B$423,$B19,'All Features'!$C$2:$C$423,$C19,'All Features'!$J$2:$J$423,"&gt;0")=0,"",_xlfn.MINIFS('All Features'!$J$2:$J$423,'All Features'!$B$2:$B$423,$B19,'All Features'!$C$2:$C$423,$C19))</f>
        <v>46254</v>
      </c>
      <c r="F19" s="11" t="n">
        <f aca="false">IF(COUNTIFS('All Features'!$B$2:$B$423,$B19,'All Features'!$C$2:$C$423,$C19,'All Features'!$J$2:$J$423,"&gt;0")=0,"",_xlfn.MAXIFS('All Features'!$J$2:$J$423,'All Features'!$B$2:$B$423,$B19,'All Features'!$C$2:$C$423,$C19))</f>
        <v>46254</v>
      </c>
      <c r="G19" s="5" t="n">
        <f aca="false">COUNTIFS('All Features'!$B$2:$B$423,$B19,'All Features'!$C$2:$C$423,$C19)</f>
        <v>4</v>
      </c>
      <c r="H19" s="5" t="n">
        <f aca="false">COUNTIFS('All Features'!$B$2:$B$423,$B19,'All Features'!$C$2:$C$423,$C19,'All Features'!$O$2:$O$423,"COMPLETED")</f>
        <v>4</v>
      </c>
      <c r="I19" s="5" t="n">
        <f aca="false">COUNTIFS('All Features'!$B$2:$B$423,$B19,'All Features'!$C$2:$C$423,$C19,'All Features'!$O$2:$O$423,"IMPLEMENTED BUT NOT VERIFIED")</f>
        <v>0</v>
      </c>
      <c r="J19" s="5" t="n">
        <f aca="false">COUNTIFS('All Features'!$B$2:$B$423,$B19,'All Features'!$C$2:$C$423,$C19,'All Features'!$O$2:$O$423,"BLOCKED")</f>
        <v>0</v>
      </c>
      <c r="K19" s="5" t="n">
        <f aca="false">COUNTIFS('All Features'!$B$2:$B$423,$B19,'All Features'!$C$2:$C$423,$C19,'All Features'!$O$2:$O$423,"IN PROGRESS")</f>
        <v>0</v>
      </c>
      <c r="L19" s="5" t="n">
        <f aca="false">COUNTIFS('All Features'!$B$2:$B$423,$B19,'All Features'!$C$2:$C$423,$C19,'All Features'!$O$2:$O$423,"IN REVIEW*")</f>
        <v>0</v>
      </c>
      <c r="M19" s="5" t="n">
        <f aca="false">COUNTIFS('All Features'!$B$2:$B$423,$B19,'All Features'!$C$2:$C$423,$C19,'All Features'!$O$2:$O$423,"NOT STARTED")</f>
        <v>0</v>
      </c>
      <c r="N19" s="5" t="n">
        <f aca="false">COUNTIFS('All Features'!$B$2:$B$423,$B19,'All Features'!$C$2:$C$423,$C19,'All Features'!$O$2:$O$423,"SUPERSEDED")</f>
        <v>0</v>
      </c>
      <c r="O19" s="5" t="n">
        <f aca="false">COUNTIFS('All Features'!$B$2:$B$423,$B19,'All Features'!$C$2:$C$423,$C19,'All Features'!$L$2:$L$423,"Yes")</f>
        <v>4</v>
      </c>
      <c r="P19" s="12" t="n">
        <f aca="false">IFERROR((H19+N19)/G19,0)</f>
        <v>1</v>
      </c>
      <c r="Q19" s="12" t="n">
        <f aca="false">IFERROR(AVERAGEIFS('All Features'!$Q$2:$Q$423,'All Features'!$B$2:$B$423,$B19,'All Features'!$C$2:$C$423,$C19),"")</f>
        <v>1</v>
      </c>
      <c r="R19" s="5" t="str">
        <f aca="false">IF(G19=0,"-",IF(H19+N19=G19,"COMPLETED",IF(M19=G19,"NOT STARTED",IF(H19+I19+N19=G19,"BUILT - VERIFICATION PENDING","IN PROGRESS"&amp;IF(J19&gt;0," - "&amp;J19&amp;" BLOCKED","")&amp;IF(L19&gt;0," - "&amp;L19&amp;" in review","")))))</f>
        <v>COMPLETED</v>
      </c>
    </row>
    <row r="20" customFormat="false" ht="15" hidden="false" customHeight="false" outlineLevel="0" collapsed="false">
      <c r="A20" s="5" t="s">
        <v>17</v>
      </c>
      <c r="B20" s="5" t="s">
        <v>86</v>
      </c>
      <c r="C20" s="5" t="n">
        <v>3</v>
      </c>
      <c r="D20" s="6" t="s">
        <v>89</v>
      </c>
      <c r="E20" s="11" t="n">
        <f aca="false">IF(COUNTIFS('All Features'!$B$2:$B$423,$B20,'All Features'!$C$2:$C$423,$C20,'All Features'!$J$2:$J$423,"&gt;0")=0,"",_xlfn.MINIFS('All Features'!$J$2:$J$423,'All Features'!$B$2:$B$423,$B20,'All Features'!$C$2:$C$423,$C20))</f>
        <v>46255</v>
      </c>
      <c r="F20" s="11" t="n">
        <f aca="false">IF(COUNTIFS('All Features'!$B$2:$B$423,$B20,'All Features'!$C$2:$C$423,$C20,'All Features'!$J$2:$J$423,"&gt;0")=0,"",_xlfn.MAXIFS('All Features'!$J$2:$J$423,'All Features'!$B$2:$B$423,$B20,'All Features'!$C$2:$C$423,$C20))</f>
        <v>46260</v>
      </c>
      <c r="G20" s="5" t="n">
        <f aca="false">COUNTIFS('All Features'!$B$2:$B$423,$B20,'All Features'!$C$2:$C$423,$C20)</f>
        <v>6</v>
      </c>
      <c r="H20" s="5" t="n">
        <f aca="false">COUNTIFS('All Features'!$B$2:$B$423,$B20,'All Features'!$C$2:$C$423,$C20,'All Features'!$O$2:$O$423,"COMPLETED")</f>
        <v>6</v>
      </c>
      <c r="I20" s="5" t="n">
        <f aca="false">COUNTIFS('All Features'!$B$2:$B$423,$B20,'All Features'!$C$2:$C$423,$C20,'All Features'!$O$2:$O$423,"IMPLEMENTED BUT NOT VERIFIED")</f>
        <v>0</v>
      </c>
      <c r="J20" s="5" t="n">
        <f aca="false">COUNTIFS('All Features'!$B$2:$B$423,$B20,'All Features'!$C$2:$C$423,$C20,'All Features'!$O$2:$O$423,"BLOCKED")</f>
        <v>0</v>
      </c>
      <c r="K20" s="5" t="n">
        <f aca="false">COUNTIFS('All Features'!$B$2:$B$423,$B20,'All Features'!$C$2:$C$423,$C20,'All Features'!$O$2:$O$423,"IN PROGRESS")</f>
        <v>0</v>
      </c>
      <c r="L20" s="5" t="n">
        <f aca="false">COUNTIFS('All Features'!$B$2:$B$423,$B20,'All Features'!$C$2:$C$423,$C20,'All Features'!$O$2:$O$423,"IN REVIEW*")</f>
        <v>0</v>
      </c>
      <c r="M20" s="5" t="n">
        <f aca="false">COUNTIFS('All Features'!$B$2:$B$423,$B20,'All Features'!$C$2:$C$423,$C20,'All Features'!$O$2:$O$423,"NOT STARTED")</f>
        <v>0</v>
      </c>
      <c r="N20" s="5" t="n">
        <f aca="false">COUNTIFS('All Features'!$B$2:$B$423,$B20,'All Features'!$C$2:$C$423,$C20,'All Features'!$O$2:$O$423,"SUPERSEDED")</f>
        <v>0</v>
      </c>
      <c r="O20" s="5" t="n">
        <f aca="false">COUNTIFS('All Features'!$B$2:$B$423,$B20,'All Features'!$C$2:$C$423,$C20,'All Features'!$L$2:$L$423,"Yes")</f>
        <v>6</v>
      </c>
      <c r="P20" s="12" t="n">
        <f aca="false">IFERROR((H20+N20)/G20,0)</f>
        <v>1</v>
      </c>
      <c r="Q20" s="12" t="n">
        <f aca="false">IFERROR(AVERAGEIFS('All Features'!$Q$2:$Q$423,'All Features'!$B$2:$B$423,$B20,'All Features'!$C$2:$C$423,$C20),"")</f>
        <v>1</v>
      </c>
      <c r="R20" s="5" t="str">
        <f aca="false">IF(G20=0,"-",IF(H20+N20=G20,"COMPLETED",IF(M20=G20,"NOT STARTED",IF(H20+I20+N20=G20,"BUILT - VERIFICATION PENDING","IN PROGRESS"&amp;IF(J20&gt;0," - "&amp;J20&amp;" BLOCKED","")&amp;IF(L20&gt;0," - "&amp;L20&amp;" in review","")))))</f>
        <v>COMPLETED</v>
      </c>
    </row>
    <row r="21" customFormat="false" ht="15" hidden="false" customHeight="false" outlineLevel="0" collapsed="false">
      <c r="A21" s="5" t="s">
        <v>17</v>
      </c>
      <c r="B21" s="5" t="s">
        <v>86</v>
      </c>
      <c r="C21" s="5" t="n">
        <v>4</v>
      </c>
      <c r="D21" s="6" t="s">
        <v>90</v>
      </c>
      <c r="E21" s="11" t="n">
        <f aca="false">IF(COUNTIFS('All Features'!$B$2:$B$423,$B21,'All Features'!$C$2:$C$423,$C21,'All Features'!$J$2:$J$423,"&gt;0")=0,"",_xlfn.MINIFS('All Features'!$J$2:$J$423,'All Features'!$B$2:$B$423,$B21,'All Features'!$C$2:$C$423,$C21))</f>
        <v>46258</v>
      </c>
      <c r="F21" s="11" t="n">
        <f aca="false">IF(COUNTIFS('All Features'!$B$2:$B$423,$B21,'All Features'!$C$2:$C$423,$C21,'All Features'!$J$2:$J$423,"&gt;0")=0,"",_xlfn.MAXIFS('All Features'!$J$2:$J$423,'All Features'!$B$2:$B$423,$B21,'All Features'!$C$2:$C$423,$C21))</f>
        <v>46259</v>
      </c>
      <c r="G21" s="5" t="n">
        <f aca="false">COUNTIFS('All Features'!$B$2:$B$423,$B21,'All Features'!$C$2:$C$423,$C21)</f>
        <v>4</v>
      </c>
      <c r="H21" s="5" t="n">
        <f aca="false">COUNTIFS('All Features'!$B$2:$B$423,$B21,'All Features'!$C$2:$C$423,$C21,'All Features'!$O$2:$O$423,"COMPLETED")</f>
        <v>4</v>
      </c>
      <c r="I21" s="5" t="n">
        <f aca="false">COUNTIFS('All Features'!$B$2:$B$423,$B21,'All Features'!$C$2:$C$423,$C21,'All Features'!$O$2:$O$423,"IMPLEMENTED BUT NOT VERIFIED")</f>
        <v>0</v>
      </c>
      <c r="J21" s="5" t="n">
        <f aca="false">COUNTIFS('All Features'!$B$2:$B$423,$B21,'All Features'!$C$2:$C$423,$C21,'All Features'!$O$2:$O$423,"BLOCKED")</f>
        <v>0</v>
      </c>
      <c r="K21" s="5" t="n">
        <f aca="false">COUNTIFS('All Features'!$B$2:$B$423,$B21,'All Features'!$C$2:$C$423,$C21,'All Features'!$O$2:$O$423,"IN PROGRESS")</f>
        <v>0</v>
      </c>
      <c r="L21" s="5" t="n">
        <f aca="false">COUNTIFS('All Features'!$B$2:$B$423,$B21,'All Features'!$C$2:$C$423,$C21,'All Features'!$O$2:$O$423,"IN REVIEW*")</f>
        <v>0</v>
      </c>
      <c r="M21" s="5" t="n">
        <f aca="false">COUNTIFS('All Features'!$B$2:$B$423,$B21,'All Features'!$C$2:$C$423,$C21,'All Features'!$O$2:$O$423,"NOT STARTED")</f>
        <v>0</v>
      </c>
      <c r="N21" s="5" t="n">
        <f aca="false">COUNTIFS('All Features'!$B$2:$B$423,$B21,'All Features'!$C$2:$C$423,$C21,'All Features'!$O$2:$O$423,"SUPERSEDED")</f>
        <v>0</v>
      </c>
      <c r="O21" s="5" t="n">
        <f aca="false">COUNTIFS('All Features'!$B$2:$B$423,$B21,'All Features'!$C$2:$C$423,$C21,'All Features'!$L$2:$L$423,"Yes")</f>
        <v>4</v>
      </c>
      <c r="P21" s="12" t="n">
        <f aca="false">IFERROR((H21+N21)/G21,0)</f>
        <v>1</v>
      </c>
      <c r="Q21" s="12" t="n">
        <f aca="false">IFERROR(AVERAGEIFS('All Features'!$Q$2:$Q$423,'All Features'!$B$2:$B$423,$B21,'All Features'!$C$2:$C$423,$C21),"")</f>
        <v>1</v>
      </c>
      <c r="R21" s="5" t="str">
        <f aca="false">IF(G21=0,"-",IF(H21+N21=G21,"COMPLETED",IF(M21=G21,"NOT STARTED",IF(H21+I21+N21=G21,"BUILT - VERIFICATION PENDING","IN PROGRESS"&amp;IF(J21&gt;0," - "&amp;J21&amp;" BLOCKED","")&amp;IF(L21&gt;0," - "&amp;L21&amp;" in review","")))))</f>
        <v>COMPLETED</v>
      </c>
    </row>
    <row r="22" customFormat="false" ht="15" hidden="false" customHeight="false" outlineLevel="0" collapsed="false">
      <c r="A22" s="5" t="s">
        <v>17</v>
      </c>
      <c r="B22" s="5" t="s">
        <v>86</v>
      </c>
      <c r="C22" s="5" t="n">
        <v>5</v>
      </c>
      <c r="D22" s="6" t="s">
        <v>91</v>
      </c>
      <c r="E22" s="11" t="n">
        <f aca="false">IF(COUNTIFS('All Features'!$B$2:$B$423,$B22,'All Features'!$C$2:$C$423,$C22,'All Features'!$J$2:$J$423,"&gt;0")=0,"",_xlfn.MINIFS('All Features'!$J$2:$J$423,'All Features'!$B$2:$B$423,$B22,'All Features'!$C$2:$C$423,$C22))</f>
        <v>46297</v>
      </c>
      <c r="F22" s="11" t="n">
        <f aca="false">IF(COUNTIFS('All Features'!$B$2:$B$423,$B22,'All Features'!$C$2:$C$423,$C22,'All Features'!$J$2:$J$423,"&gt;0")=0,"",_xlfn.MAXIFS('All Features'!$J$2:$J$423,'All Features'!$B$2:$B$423,$B22,'All Features'!$C$2:$C$423,$C22))</f>
        <v>46297</v>
      </c>
      <c r="G22" s="5" t="n">
        <f aca="false">COUNTIFS('All Features'!$B$2:$B$423,$B22,'All Features'!$C$2:$C$423,$C22)</f>
        <v>2</v>
      </c>
      <c r="H22" s="5" t="n">
        <f aca="false">COUNTIFS('All Features'!$B$2:$B$423,$B22,'All Features'!$C$2:$C$423,$C22,'All Features'!$O$2:$O$423,"COMPLETED")</f>
        <v>2</v>
      </c>
      <c r="I22" s="5" t="n">
        <f aca="false">COUNTIFS('All Features'!$B$2:$B$423,$B22,'All Features'!$C$2:$C$423,$C22,'All Features'!$O$2:$O$423,"IMPLEMENTED BUT NOT VERIFIED")</f>
        <v>0</v>
      </c>
      <c r="J22" s="5" t="n">
        <f aca="false">COUNTIFS('All Features'!$B$2:$B$423,$B22,'All Features'!$C$2:$C$423,$C22,'All Features'!$O$2:$O$423,"BLOCKED")</f>
        <v>0</v>
      </c>
      <c r="K22" s="5" t="n">
        <f aca="false">COUNTIFS('All Features'!$B$2:$B$423,$B22,'All Features'!$C$2:$C$423,$C22,'All Features'!$O$2:$O$423,"IN PROGRESS")</f>
        <v>0</v>
      </c>
      <c r="L22" s="5" t="n">
        <f aca="false">COUNTIFS('All Features'!$B$2:$B$423,$B22,'All Features'!$C$2:$C$423,$C22,'All Features'!$O$2:$O$423,"IN REVIEW*")</f>
        <v>0</v>
      </c>
      <c r="M22" s="5" t="n">
        <f aca="false">COUNTIFS('All Features'!$B$2:$B$423,$B22,'All Features'!$C$2:$C$423,$C22,'All Features'!$O$2:$O$423,"NOT STARTED")</f>
        <v>0</v>
      </c>
      <c r="N22" s="5" t="n">
        <f aca="false">COUNTIFS('All Features'!$B$2:$B$423,$B22,'All Features'!$C$2:$C$423,$C22,'All Features'!$O$2:$O$423,"SUPERSEDED")</f>
        <v>0</v>
      </c>
      <c r="O22" s="5" t="n">
        <f aca="false">COUNTIFS('All Features'!$B$2:$B$423,$B22,'All Features'!$C$2:$C$423,$C22,'All Features'!$L$2:$L$423,"Yes")</f>
        <v>2</v>
      </c>
      <c r="P22" s="12" t="n">
        <f aca="false">IFERROR((H22+N22)/G22,0)</f>
        <v>1</v>
      </c>
      <c r="Q22" s="12" t="n">
        <f aca="false">IFERROR(AVERAGEIFS('All Features'!$Q$2:$Q$423,'All Features'!$B$2:$B$423,$B22,'All Features'!$C$2:$C$423,$C22),"")</f>
        <v>1</v>
      </c>
      <c r="R22" s="5" t="str">
        <f aca="false">IF(G22=0,"-",IF(H22+N22=G22,"COMPLETED",IF(M22=G22,"NOT STARTED",IF(H22+I22+N22=G22,"BUILT - VERIFICATION PENDING","IN PROGRESS"&amp;IF(J22&gt;0," - "&amp;J22&amp;" BLOCKED","")&amp;IF(L22&gt;0," - "&amp;L22&amp;" in review","")))))</f>
        <v>COMPLETED</v>
      </c>
    </row>
    <row r="23" customFormat="false" ht="23.85" hidden="false" customHeight="false" outlineLevel="0" collapsed="false">
      <c r="A23" s="5" t="s">
        <v>17</v>
      </c>
      <c r="B23" s="5" t="s">
        <v>86</v>
      </c>
      <c r="C23" s="5" t="n">
        <v>6</v>
      </c>
      <c r="D23" s="6" t="s">
        <v>92</v>
      </c>
      <c r="E23" s="11" t="n">
        <f aca="false">IF(COUNTIFS('All Features'!$B$2:$B$423,$B23,'All Features'!$C$2:$C$423,$C23,'All Features'!$J$2:$J$423,"&gt;0")=0,"",_xlfn.MINIFS('All Features'!$J$2:$J$423,'All Features'!$B$2:$B$423,$B23,'All Features'!$C$2:$C$423,$C23))</f>
        <v>46303</v>
      </c>
      <c r="F23" s="11" t="n">
        <f aca="false">IF(COUNTIFS('All Features'!$B$2:$B$423,$B23,'All Features'!$C$2:$C$423,$C23,'All Features'!$J$2:$J$423,"&gt;0")=0,"",_xlfn.MAXIFS('All Features'!$J$2:$J$423,'All Features'!$B$2:$B$423,$B23,'All Features'!$C$2:$C$423,$C23))</f>
        <v>46303</v>
      </c>
      <c r="G23" s="5" t="n">
        <f aca="false">COUNTIFS('All Features'!$B$2:$B$423,$B23,'All Features'!$C$2:$C$423,$C23)</f>
        <v>7</v>
      </c>
      <c r="H23" s="5" t="n">
        <f aca="false">COUNTIFS('All Features'!$B$2:$B$423,$B23,'All Features'!$C$2:$C$423,$C23,'All Features'!$O$2:$O$423,"COMPLETED")</f>
        <v>6</v>
      </c>
      <c r="I23" s="5" t="n">
        <f aca="false">COUNTIFS('All Features'!$B$2:$B$423,$B23,'All Features'!$C$2:$C$423,$C23,'All Features'!$O$2:$O$423,"IMPLEMENTED BUT NOT VERIFIED")</f>
        <v>0</v>
      </c>
      <c r="J23" s="5" t="n">
        <f aca="false">COUNTIFS('All Features'!$B$2:$B$423,$B23,'All Features'!$C$2:$C$423,$C23,'All Features'!$O$2:$O$423,"BLOCKED")</f>
        <v>0</v>
      </c>
      <c r="K23" s="5" t="n">
        <f aca="false">COUNTIFS('All Features'!$B$2:$B$423,$B23,'All Features'!$C$2:$C$423,$C23,'All Features'!$O$2:$O$423,"IN PROGRESS")</f>
        <v>0</v>
      </c>
      <c r="L23" s="5" t="n">
        <f aca="false">COUNTIFS('All Features'!$B$2:$B$423,$B23,'All Features'!$C$2:$C$423,$C23,'All Features'!$O$2:$O$423,"IN REVIEW*")</f>
        <v>1</v>
      </c>
      <c r="M23" s="5" t="n">
        <f aca="false">COUNTIFS('All Features'!$B$2:$B$423,$B23,'All Features'!$C$2:$C$423,$C23,'All Features'!$O$2:$O$423,"NOT STARTED")</f>
        <v>0</v>
      </c>
      <c r="N23" s="5" t="n">
        <f aca="false">COUNTIFS('All Features'!$B$2:$B$423,$B23,'All Features'!$C$2:$C$423,$C23,'All Features'!$O$2:$O$423,"SUPERSEDED")</f>
        <v>0</v>
      </c>
      <c r="O23" s="5" t="n">
        <f aca="false">COUNTIFS('All Features'!$B$2:$B$423,$B23,'All Features'!$C$2:$C$423,$C23,'All Features'!$L$2:$L$423,"Yes")</f>
        <v>6</v>
      </c>
      <c r="P23" s="12" t="n">
        <f aca="false">IFERROR((H23+N23)/G23,0)</f>
        <v>0.857142857142857</v>
      </c>
      <c r="Q23" s="12" t="n">
        <f aca="false">IFERROR(AVERAGEIFS('All Features'!$Q$2:$Q$423,'All Features'!$B$2:$B$423,$B23,'All Features'!$C$2:$C$423,$C23),"")</f>
        <v>1</v>
      </c>
      <c r="R23" s="5" t="str">
        <f aca="false">IF(G23=0,"-",IF(H23+N23=G23,"COMPLETED",IF(M23=G23,"NOT STARTED",IF(H23+I23+N23=G23,"BUILT - VERIFICATION PENDING","IN PROGRESS"&amp;IF(J23&gt;0," - "&amp;J23&amp;" BLOCKED","")&amp;IF(L23&gt;0," - "&amp;L23&amp;" in review","")))))</f>
        <v>IN PROGRESS - 1 in review</v>
      </c>
    </row>
    <row r="24" customFormat="false" ht="15" hidden="false" customHeight="false" outlineLevel="0" collapsed="false">
      <c r="A24" s="5" t="s">
        <v>23</v>
      </c>
      <c r="B24" s="5" t="s">
        <v>93</v>
      </c>
      <c r="C24" s="5" t="n">
        <v>1</v>
      </c>
      <c r="D24" s="6" t="s">
        <v>94</v>
      </c>
      <c r="E24" s="11" t="n">
        <f aca="false">IF(COUNTIFS('All Features'!$B$2:$B$423,$B24,'All Features'!$C$2:$C$423,$C24,'All Features'!$J$2:$J$423,"&gt;0")=0,"",_xlfn.MINIFS('All Features'!$J$2:$J$423,'All Features'!$B$2:$B$423,$B24,'All Features'!$C$2:$C$423,$C24))</f>
        <v>46281</v>
      </c>
      <c r="F24" s="11" t="n">
        <f aca="false">IF(COUNTIFS('All Features'!$B$2:$B$423,$B24,'All Features'!$C$2:$C$423,$C24,'All Features'!$J$2:$J$423,"&gt;0")=0,"",_xlfn.MAXIFS('All Features'!$J$2:$J$423,'All Features'!$B$2:$B$423,$B24,'All Features'!$C$2:$C$423,$C24))</f>
        <v>46281</v>
      </c>
      <c r="G24" s="5" t="n">
        <f aca="false">COUNTIFS('All Features'!$B$2:$B$423,$B24,'All Features'!$C$2:$C$423,$C24)</f>
        <v>6</v>
      </c>
      <c r="H24" s="5" t="n">
        <f aca="false">COUNTIFS('All Features'!$B$2:$B$423,$B24,'All Features'!$C$2:$C$423,$C24,'All Features'!$O$2:$O$423,"COMPLETED")</f>
        <v>5</v>
      </c>
      <c r="I24" s="5" t="n">
        <f aca="false">COUNTIFS('All Features'!$B$2:$B$423,$B24,'All Features'!$C$2:$C$423,$C24,'All Features'!$O$2:$O$423,"IMPLEMENTED BUT NOT VERIFIED")</f>
        <v>0</v>
      </c>
      <c r="J24" s="5" t="n">
        <f aca="false">COUNTIFS('All Features'!$B$2:$B$423,$B24,'All Features'!$C$2:$C$423,$C24,'All Features'!$O$2:$O$423,"BLOCKED")</f>
        <v>0</v>
      </c>
      <c r="K24" s="5" t="n">
        <f aca="false">COUNTIFS('All Features'!$B$2:$B$423,$B24,'All Features'!$C$2:$C$423,$C24,'All Features'!$O$2:$O$423,"IN PROGRESS")</f>
        <v>0</v>
      </c>
      <c r="L24" s="5" t="n">
        <f aca="false">COUNTIFS('All Features'!$B$2:$B$423,$B24,'All Features'!$C$2:$C$423,$C24,'All Features'!$O$2:$O$423,"IN REVIEW*")</f>
        <v>0</v>
      </c>
      <c r="M24" s="5" t="n">
        <f aca="false">COUNTIFS('All Features'!$B$2:$B$423,$B24,'All Features'!$C$2:$C$423,$C24,'All Features'!$O$2:$O$423,"NOT STARTED")</f>
        <v>0</v>
      </c>
      <c r="N24" s="5" t="n">
        <f aca="false">COUNTIFS('All Features'!$B$2:$B$423,$B24,'All Features'!$C$2:$C$423,$C24,'All Features'!$O$2:$O$423,"SUPERSEDED")</f>
        <v>1</v>
      </c>
      <c r="O24" s="5" t="n">
        <f aca="false">COUNTIFS('All Features'!$B$2:$B$423,$B24,'All Features'!$C$2:$C$423,$C24,'All Features'!$L$2:$L$423,"Yes")</f>
        <v>6</v>
      </c>
      <c r="P24" s="12" t="n">
        <f aca="false">IFERROR((H24+N24)/G24,0)</f>
        <v>1</v>
      </c>
      <c r="Q24" s="12" t="n">
        <f aca="false">IFERROR(AVERAGEIFS('All Features'!$Q$2:$Q$423,'All Features'!$B$2:$B$423,$B24,'All Features'!$C$2:$C$423,$C24),"")</f>
        <v>1</v>
      </c>
      <c r="R24" s="5" t="str">
        <f aca="false">IF(G24=0,"-",IF(H24+N24=G24,"COMPLETED",IF(M24=G24,"NOT STARTED",IF(H24+I24+N24=G24,"BUILT - VERIFICATION PENDING","IN PROGRESS"&amp;IF(J24&gt;0," - "&amp;J24&amp;" BLOCKED","")&amp;IF(L24&gt;0," - "&amp;L24&amp;" in review","")))))</f>
        <v>COMPLETED</v>
      </c>
    </row>
    <row r="25" customFormat="false" ht="15" hidden="false" customHeight="false" outlineLevel="0" collapsed="false">
      <c r="A25" s="5" t="s">
        <v>23</v>
      </c>
      <c r="B25" s="5" t="s">
        <v>93</v>
      </c>
      <c r="C25" s="5" t="n">
        <v>2</v>
      </c>
      <c r="D25" s="6" t="s">
        <v>95</v>
      </c>
      <c r="E25" s="11" t="n">
        <f aca="false">IF(COUNTIFS('All Features'!$B$2:$B$423,$B25,'All Features'!$C$2:$C$423,$C25,'All Features'!$J$2:$J$423,"&gt;0")=0,"",_xlfn.MINIFS('All Features'!$J$2:$J$423,'All Features'!$B$2:$B$423,$B25,'All Features'!$C$2:$C$423,$C25))</f>
        <v>46296</v>
      </c>
      <c r="F25" s="11" t="n">
        <f aca="false">IF(COUNTIFS('All Features'!$B$2:$B$423,$B25,'All Features'!$C$2:$C$423,$C25,'All Features'!$J$2:$J$423,"&gt;0")=0,"",_xlfn.MAXIFS('All Features'!$J$2:$J$423,'All Features'!$B$2:$B$423,$B25,'All Features'!$C$2:$C$423,$C25))</f>
        <v>46297</v>
      </c>
      <c r="G25" s="5" t="n">
        <f aca="false">COUNTIFS('All Features'!$B$2:$B$423,$B25,'All Features'!$C$2:$C$423,$C25)</f>
        <v>3</v>
      </c>
      <c r="H25" s="5" t="n">
        <f aca="false">COUNTIFS('All Features'!$B$2:$B$423,$B25,'All Features'!$C$2:$C$423,$C25,'All Features'!$O$2:$O$423,"COMPLETED")</f>
        <v>3</v>
      </c>
      <c r="I25" s="5" t="n">
        <f aca="false">COUNTIFS('All Features'!$B$2:$B$423,$B25,'All Features'!$C$2:$C$423,$C25,'All Features'!$O$2:$O$423,"IMPLEMENTED BUT NOT VERIFIED")</f>
        <v>0</v>
      </c>
      <c r="J25" s="5" t="n">
        <f aca="false">COUNTIFS('All Features'!$B$2:$B$423,$B25,'All Features'!$C$2:$C$423,$C25,'All Features'!$O$2:$O$423,"BLOCKED")</f>
        <v>0</v>
      </c>
      <c r="K25" s="5" t="n">
        <f aca="false">COUNTIFS('All Features'!$B$2:$B$423,$B25,'All Features'!$C$2:$C$423,$C25,'All Features'!$O$2:$O$423,"IN PROGRESS")</f>
        <v>0</v>
      </c>
      <c r="L25" s="5" t="n">
        <f aca="false">COUNTIFS('All Features'!$B$2:$B$423,$B25,'All Features'!$C$2:$C$423,$C25,'All Features'!$O$2:$O$423,"IN REVIEW*")</f>
        <v>0</v>
      </c>
      <c r="M25" s="5" t="n">
        <f aca="false">COUNTIFS('All Features'!$B$2:$B$423,$B25,'All Features'!$C$2:$C$423,$C25,'All Features'!$O$2:$O$423,"NOT STARTED")</f>
        <v>0</v>
      </c>
      <c r="N25" s="5" t="n">
        <f aca="false">COUNTIFS('All Features'!$B$2:$B$423,$B25,'All Features'!$C$2:$C$423,$C25,'All Features'!$O$2:$O$423,"SUPERSEDED")</f>
        <v>0</v>
      </c>
      <c r="O25" s="5" t="n">
        <f aca="false">COUNTIFS('All Features'!$B$2:$B$423,$B25,'All Features'!$C$2:$C$423,$C25,'All Features'!$L$2:$L$423,"Yes")</f>
        <v>3</v>
      </c>
      <c r="P25" s="12" t="n">
        <f aca="false">IFERROR((H25+N25)/G25,0)</f>
        <v>1</v>
      </c>
      <c r="Q25" s="12" t="n">
        <f aca="false">IFERROR(AVERAGEIFS('All Features'!$Q$2:$Q$423,'All Features'!$B$2:$B$423,$B25,'All Features'!$C$2:$C$423,$C25),"")</f>
        <v>1</v>
      </c>
      <c r="R25" s="5" t="str">
        <f aca="false">IF(G25=0,"-",IF(H25+N25=G25,"COMPLETED",IF(M25=G25,"NOT STARTED",IF(H25+I25+N25=G25,"BUILT - VERIFICATION PENDING","IN PROGRESS"&amp;IF(J25&gt;0," - "&amp;J25&amp;" BLOCKED","")&amp;IF(L25&gt;0," - "&amp;L25&amp;" in review","")))))</f>
        <v>COMPLETED</v>
      </c>
    </row>
    <row r="26" customFormat="false" ht="23.85" hidden="false" customHeight="false" outlineLevel="0" collapsed="false">
      <c r="A26" s="5" t="s">
        <v>23</v>
      </c>
      <c r="B26" s="5" t="s">
        <v>93</v>
      </c>
      <c r="C26" s="5" t="n">
        <v>3</v>
      </c>
      <c r="D26" s="6" t="s">
        <v>96</v>
      </c>
      <c r="E26" s="11" t="n">
        <f aca="false">IF(COUNTIFS('All Features'!$B$2:$B$423,$B26,'All Features'!$C$2:$C$423,$C26,'All Features'!$J$2:$J$423,"&gt;0")=0,"",_xlfn.MINIFS('All Features'!$J$2:$J$423,'All Features'!$B$2:$B$423,$B26,'All Features'!$C$2:$C$423,$C26))</f>
        <v>46297</v>
      </c>
      <c r="F26" s="11" t="n">
        <f aca="false">IF(COUNTIFS('All Features'!$B$2:$B$423,$B26,'All Features'!$C$2:$C$423,$C26,'All Features'!$J$2:$J$423,"&gt;0")=0,"",_xlfn.MAXIFS('All Features'!$J$2:$J$423,'All Features'!$B$2:$B$423,$B26,'All Features'!$C$2:$C$423,$C26))</f>
        <v>46304</v>
      </c>
      <c r="G26" s="5" t="n">
        <f aca="false">COUNTIFS('All Features'!$B$2:$B$423,$B26,'All Features'!$C$2:$C$423,$C26)</f>
        <v>10</v>
      </c>
      <c r="H26" s="5" t="n">
        <f aca="false">COUNTIFS('All Features'!$B$2:$B$423,$B26,'All Features'!$C$2:$C$423,$C26,'All Features'!$O$2:$O$423,"COMPLETED")</f>
        <v>9</v>
      </c>
      <c r="I26" s="5" t="n">
        <f aca="false">COUNTIFS('All Features'!$B$2:$B$423,$B26,'All Features'!$C$2:$C$423,$C26,'All Features'!$O$2:$O$423,"IMPLEMENTED BUT NOT VERIFIED")</f>
        <v>0</v>
      </c>
      <c r="J26" s="5" t="n">
        <f aca="false">COUNTIFS('All Features'!$B$2:$B$423,$B26,'All Features'!$C$2:$C$423,$C26,'All Features'!$O$2:$O$423,"BLOCKED")</f>
        <v>0</v>
      </c>
      <c r="K26" s="5" t="n">
        <f aca="false">COUNTIFS('All Features'!$B$2:$B$423,$B26,'All Features'!$C$2:$C$423,$C26,'All Features'!$O$2:$O$423,"IN PROGRESS")</f>
        <v>0</v>
      </c>
      <c r="L26" s="5" t="n">
        <f aca="false">COUNTIFS('All Features'!$B$2:$B$423,$B26,'All Features'!$C$2:$C$423,$C26,'All Features'!$O$2:$O$423,"IN REVIEW*")</f>
        <v>1</v>
      </c>
      <c r="M26" s="5" t="n">
        <f aca="false">COUNTIFS('All Features'!$B$2:$B$423,$B26,'All Features'!$C$2:$C$423,$C26,'All Features'!$O$2:$O$423,"NOT STARTED")</f>
        <v>0</v>
      </c>
      <c r="N26" s="5" t="n">
        <f aca="false">COUNTIFS('All Features'!$B$2:$B$423,$B26,'All Features'!$C$2:$C$423,$C26,'All Features'!$O$2:$O$423,"SUPERSEDED")</f>
        <v>0</v>
      </c>
      <c r="O26" s="5" t="n">
        <f aca="false">COUNTIFS('All Features'!$B$2:$B$423,$B26,'All Features'!$C$2:$C$423,$C26,'All Features'!$L$2:$L$423,"Yes")</f>
        <v>9</v>
      </c>
      <c r="P26" s="12" t="n">
        <f aca="false">IFERROR((H26+N26)/G26,0)</f>
        <v>0.9</v>
      </c>
      <c r="Q26" s="12" t="n">
        <f aca="false">IFERROR(AVERAGEIFS('All Features'!$Q$2:$Q$423,'All Features'!$B$2:$B$423,$B26,'All Features'!$C$2:$C$423,$C26),"")</f>
        <v>1</v>
      </c>
      <c r="R26" s="5" t="str">
        <f aca="false">IF(G26=0,"-",IF(H26+N26=G26,"COMPLETED",IF(M26=G26,"NOT STARTED",IF(H26+I26+N26=G26,"BUILT - VERIFICATION PENDING","IN PROGRESS"&amp;IF(J26&gt;0," - "&amp;J26&amp;" BLOCKED","")&amp;IF(L26&gt;0," - "&amp;L26&amp;" in review","")))))</f>
        <v>IN PROGRESS - 1 in review</v>
      </c>
    </row>
    <row r="27" customFormat="false" ht="15" hidden="false" customHeight="false" outlineLevel="0" collapsed="false">
      <c r="A27" s="5" t="s">
        <v>23</v>
      </c>
      <c r="B27" s="5" t="s">
        <v>93</v>
      </c>
      <c r="C27" s="5" t="n">
        <v>4</v>
      </c>
      <c r="D27" s="6" t="s">
        <v>97</v>
      </c>
      <c r="E27" s="11" t="n">
        <f aca="false">IF(COUNTIFS('All Features'!$B$2:$B$423,$B27,'All Features'!$C$2:$C$423,$C27,'All Features'!$J$2:$J$423,"&gt;0")=0,"",_xlfn.MINIFS('All Features'!$J$2:$J$423,'All Features'!$B$2:$B$423,$B27,'All Features'!$C$2:$C$423,$C27))</f>
        <v>46303</v>
      </c>
      <c r="F27" s="11" t="n">
        <f aca="false">IF(COUNTIFS('All Features'!$B$2:$B$423,$B27,'All Features'!$C$2:$C$423,$C27,'All Features'!$J$2:$J$423,"&gt;0")=0,"",_xlfn.MAXIFS('All Features'!$J$2:$J$423,'All Features'!$B$2:$B$423,$B27,'All Features'!$C$2:$C$423,$C27))</f>
        <v>46304</v>
      </c>
      <c r="G27" s="5" t="n">
        <f aca="false">COUNTIFS('All Features'!$B$2:$B$423,$B27,'All Features'!$C$2:$C$423,$C27)</f>
        <v>2</v>
      </c>
      <c r="H27" s="5" t="n">
        <f aca="false">COUNTIFS('All Features'!$B$2:$B$423,$B27,'All Features'!$C$2:$C$423,$C27,'All Features'!$O$2:$O$423,"COMPLETED")</f>
        <v>2</v>
      </c>
      <c r="I27" s="5" t="n">
        <f aca="false">COUNTIFS('All Features'!$B$2:$B$423,$B27,'All Features'!$C$2:$C$423,$C27,'All Features'!$O$2:$O$423,"IMPLEMENTED BUT NOT VERIFIED")</f>
        <v>0</v>
      </c>
      <c r="J27" s="5" t="n">
        <f aca="false">COUNTIFS('All Features'!$B$2:$B$423,$B27,'All Features'!$C$2:$C$423,$C27,'All Features'!$O$2:$O$423,"BLOCKED")</f>
        <v>0</v>
      </c>
      <c r="K27" s="5" t="n">
        <f aca="false">COUNTIFS('All Features'!$B$2:$B$423,$B27,'All Features'!$C$2:$C$423,$C27,'All Features'!$O$2:$O$423,"IN PROGRESS")</f>
        <v>0</v>
      </c>
      <c r="L27" s="5" t="n">
        <f aca="false">COUNTIFS('All Features'!$B$2:$B$423,$B27,'All Features'!$C$2:$C$423,$C27,'All Features'!$O$2:$O$423,"IN REVIEW*")</f>
        <v>0</v>
      </c>
      <c r="M27" s="5" t="n">
        <f aca="false">COUNTIFS('All Features'!$B$2:$B$423,$B27,'All Features'!$C$2:$C$423,$C27,'All Features'!$O$2:$O$423,"NOT STARTED")</f>
        <v>0</v>
      </c>
      <c r="N27" s="5" t="n">
        <f aca="false">COUNTIFS('All Features'!$B$2:$B$423,$B27,'All Features'!$C$2:$C$423,$C27,'All Features'!$O$2:$O$423,"SUPERSEDED")</f>
        <v>0</v>
      </c>
      <c r="O27" s="5" t="n">
        <f aca="false">COUNTIFS('All Features'!$B$2:$B$423,$B27,'All Features'!$C$2:$C$423,$C27,'All Features'!$L$2:$L$423,"Yes")</f>
        <v>2</v>
      </c>
      <c r="P27" s="12" t="n">
        <f aca="false">IFERROR((H27+N27)/G27,0)</f>
        <v>1</v>
      </c>
      <c r="Q27" s="12" t="n">
        <f aca="false">IFERROR(AVERAGEIFS('All Features'!$Q$2:$Q$423,'All Features'!$B$2:$B$423,$B27,'All Features'!$C$2:$C$423,$C27),"")</f>
        <v>1</v>
      </c>
      <c r="R27" s="5" t="str">
        <f aca="false">IF(G27=0,"-",IF(H27+N27=G27,"COMPLETED",IF(M27=G27,"NOT STARTED",IF(H27+I27+N27=G27,"BUILT - VERIFICATION PENDING","IN PROGRESS"&amp;IF(J27&gt;0," - "&amp;J27&amp;" BLOCKED","")&amp;IF(L27&gt;0," - "&amp;L27&amp;" in review","")))))</f>
        <v>COMPLETED</v>
      </c>
    </row>
    <row r="28" customFormat="false" ht="15" hidden="false" customHeight="false" outlineLevel="0" collapsed="false">
      <c r="A28" s="5" t="s">
        <v>23</v>
      </c>
      <c r="B28" s="5" t="s">
        <v>98</v>
      </c>
      <c r="C28" s="5" t="n">
        <v>1</v>
      </c>
      <c r="D28" s="6" t="s">
        <v>99</v>
      </c>
      <c r="E28" s="11" t="n">
        <f aca="false">IF(COUNTIFS('All Features'!$B$2:$B$423,$B28,'All Features'!$C$2:$C$423,$C28,'All Features'!$J$2:$J$423,"&gt;0")=0,"",_xlfn.MINIFS('All Features'!$J$2:$J$423,'All Features'!$B$2:$B$423,$B28,'All Features'!$C$2:$C$423,$C28))</f>
        <v>46259</v>
      </c>
      <c r="F28" s="11" t="n">
        <f aca="false">IF(COUNTIFS('All Features'!$B$2:$B$423,$B28,'All Features'!$C$2:$C$423,$C28,'All Features'!$J$2:$J$423,"&gt;0")=0,"",_xlfn.MAXIFS('All Features'!$J$2:$J$423,'All Features'!$B$2:$B$423,$B28,'All Features'!$C$2:$C$423,$C28))</f>
        <v>46259</v>
      </c>
      <c r="G28" s="5" t="n">
        <f aca="false">COUNTIFS('All Features'!$B$2:$B$423,$B28,'All Features'!$C$2:$C$423,$C28)</f>
        <v>1</v>
      </c>
      <c r="H28" s="5" t="n">
        <f aca="false">COUNTIFS('All Features'!$B$2:$B$423,$B28,'All Features'!$C$2:$C$423,$C28,'All Features'!$O$2:$O$423,"COMPLETED")</f>
        <v>1</v>
      </c>
      <c r="I28" s="5" t="n">
        <f aca="false">COUNTIFS('All Features'!$B$2:$B$423,$B28,'All Features'!$C$2:$C$423,$C28,'All Features'!$O$2:$O$423,"IMPLEMENTED BUT NOT VERIFIED")</f>
        <v>0</v>
      </c>
      <c r="J28" s="5" t="n">
        <f aca="false">COUNTIFS('All Features'!$B$2:$B$423,$B28,'All Features'!$C$2:$C$423,$C28,'All Features'!$O$2:$O$423,"BLOCKED")</f>
        <v>0</v>
      </c>
      <c r="K28" s="5" t="n">
        <f aca="false">COUNTIFS('All Features'!$B$2:$B$423,$B28,'All Features'!$C$2:$C$423,$C28,'All Features'!$O$2:$O$423,"IN PROGRESS")</f>
        <v>0</v>
      </c>
      <c r="L28" s="5" t="n">
        <f aca="false">COUNTIFS('All Features'!$B$2:$B$423,$B28,'All Features'!$C$2:$C$423,$C28,'All Features'!$O$2:$O$423,"IN REVIEW*")</f>
        <v>0</v>
      </c>
      <c r="M28" s="5" t="n">
        <f aca="false">COUNTIFS('All Features'!$B$2:$B$423,$B28,'All Features'!$C$2:$C$423,$C28,'All Features'!$O$2:$O$423,"NOT STARTED")</f>
        <v>0</v>
      </c>
      <c r="N28" s="5" t="n">
        <f aca="false">COUNTIFS('All Features'!$B$2:$B$423,$B28,'All Features'!$C$2:$C$423,$C28,'All Features'!$O$2:$O$423,"SUPERSEDED")</f>
        <v>0</v>
      </c>
      <c r="O28" s="5" t="n">
        <f aca="false">COUNTIFS('All Features'!$B$2:$B$423,$B28,'All Features'!$C$2:$C$423,$C28,'All Features'!$L$2:$L$423,"Yes")</f>
        <v>1</v>
      </c>
      <c r="P28" s="12" t="n">
        <f aca="false">IFERROR((H28+N28)/G28,0)</f>
        <v>1</v>
      </c>
      <c r="Q28" s="12" t="n">
        <f aca="false">IFERROR(AVERAGEIFS('All Features'!$Q$2:$Q$423,'All Features'!$B$2:$B$423,$B28,'All Features'!$C$2:$C$423,$C28),"")</f>
        <v>1</v>
      </c>
      <c r="R28" s="5" t="str">
        <f aca="false">IF(G28=0,"-",IF(H28+N28=G28,"COMPLETED",IF(M28=G28,"NOT STARTED",IF(H28+I28+N28=G28,"BUILT - VERIFICATION PENDING","IN PROGRESS"&amp;IF(J28&gt;0," - "&amp;J28&amp;" BLOCKED","")&amp;IF(L28&gt;0," - "&amp;L28&amp;" in review","")))))</f>
        <v>COMPLETED</v>
      </c>
    </row>
    <row r="29" customFormat="false" ht="15" hidden="false" customHeight="false" outlineLevel="0" collapsed="false">
      <c r="A29" s="5" t="s">
        <v>23</v>
      </c>
      <c r="B29" s="5" t="s">
        <v>98</v>
      </c>
      <c r="C29" s="5" t="n">
        <v>2</v>
      </c>
      <c r="D29" s="6" t="s">
        <v>100</v>
      </c>
      <c r="E29" s="11" t="n">
        <f aca="false">IF(COUNTIFS('All Features'!$B$2:$B$423,$B29,'All Features'!$C$2:$C$423,$C29,'All Features'!$J$2:$J$423,"&gt;0")=0,"",_xlfn.MINIFS('All Features'!$J$2:$J$423,'All Features'!$B$2:$B$423,$B29,'All Features'!$C$2:$C$423,$C29))</f>
        <v>46260</v>
      </c>
      <c r="F29" s="11" t="n">
        <f aca="false">IF(COUNTIFS('All Features'!$B$2:$B$423,$B29,'All Features'!$C$2:$C$423,$C29,'All Features'!$J$2:$J$423,"&gt;0")=0,"",_xlfn.MAXIFS('All Features'!$J$2:$J$423,'All Features'!$B$2:$B$423,$B29,'All Features'!$C$2:$C$423,$C29))</f>
        <v>46260</v>
      </c>
      <c r="G29" s="5" t="n">
        <f aca="false">COUNTIFS('All Features'!$B$2:$B$423,$B29,'All Features'!$C$2:$C$423,$C29)</f>
        <v>4</v>
      </c>
      <c r="H29" s="5" t="n">
        <f aca="false">COUNTIFS('All Features'!$B$2:$B$423,$B29,'All Features'!$C$2:$C$423,$C29,'All Features'!$O$2:$O$423,"COMPLETED")</f>
        <v>3</v>
      </c>
      <c r="I29" s="5" t="n">
        <f aca="false">COUNTIFS('All Features'!$B$2:$B$423,$B29,'All Features'!$C$2:$C$423,$C29,'All Features'!$O$2:$O$423,"IMPLEMENTED BUT NOT VERIFIED")</f>
        <v>0</v>
      </c>
      <c r="J29" s="5" t="n">
        <f aca="false">COUNTIFS('All Features'!$B$2:$B$423,$B29,'All Features'!$C$2:$C$423,$C29,'All Features'!$O$2:$O$423,"BLOCKED")</f>
        <v>0</v>
      </c>
      <c r="K29" s="5" t="n">
        <f aca="false">COUNTIFS('All Features'!$B$2:$B$423,$B29,'All Features'!$C$2:$C$423,$C29,'All Features'!$O$2:$O$423,"IN PROGRESS")</f>
        <v>0</v>
      </c>
      <c r="L29" s="5" t="n">
        <f aca="false">COUNTIFS('All Features'!$B$2:$B$423,$B29,'All Features'!$C$2:$C$423,$C29,'All Features'!$O$2:$O$423,"IN REVIEW*")</f>
        <v>0</v>
      </c>
      <c r="M29" s="5" t="n">
        <f aca="false">COUNTIFS('All Features'!$B$2:$B$423,$B29,'All Features'!$C$2:$C$423,$C29,'All Features'!$O$2:$O$423,"NOT STARTED")</f>
        <v>1</v>
      </c>
      <c r="N29" s="5" t="n">
        <f aca="false">COUNTIFS('All Features'!$B$2:$B$423,$B29,'All Features'!$C$2:$C$423,$C29,'All Features'!$O$2:$O$423,"SUPERSEDED")</f>
        <v>0</v>
      </c>
      <c r="O29" s="5" t="n">
        <f aca="false">COUNTIFS('All Features'!$B$2:$B$423,$B29,'All Features'!$C$2:$C$423,$C29,'All Features'!$L$2:$L$423,"Yes")</f>
        <v>3</v>
      </c>
      <c r="P29" s="12" t="n">
        <f aca="false">IFERROR((H29+N29)/G29,0)</f>
        <v>0.75</v>
      </c>
      <c r="Q29" s="12" t="n">
        <f aca="false">IFERROR(AVERAGEIFS('All Features'!$Q$2:$Q$423,'All Features'!$B$2:$B$423,$B29,'All Features'!$C$2:$C$423,$C29),"")</f>
        <v>0.75</v>
      </c>
      <c r="R29" s="5" t="str">
        <f aca="false">IF(G29=0,"-",IF(H29+N29=G29,"COMPLETED",IF(M29=G29,"NOT STARTED",IF(H29+I29+N29=G29,"BUILT - VERIFICATION PENDING","IN PROGRESS"&amp;IF(J29&gt;0," - "&amp;J29&amp;" BLOCKED","")&amp;IF(L29&gt;0," - "&amp;L29&amp;" in review","")))))</f>
        <v>IN PROGRESS</v>
      </c>
    </row>
    <row r="30" customFormat="false" ht="15" hidden="false" customHeight="false" outlineLevel="0" collapsed="false">
      <c r="A30" s="5" t="s">
        <v>23</v>
      </c>
      <c r="B30" s="5" t="s">
        <v>98</v>
      </c>
      <c r="C30" s="5" t="n">
        <v>3</v>
      </c>
      <c r="D30" s="6" t="s">
        <v>101</v>
      </c>
      <c r="E30" s="11" t="n">
        <f aca="false">IF(COUNTIFS('All Features'!$B$2:$B$423,$B30,'All Features'!$C$2:$C$423,$C30,'All Features'!$J$2:$J$423,"&gt;0")=0,"",_xlfn.MINIFS('All Features'!$J$2:$J$423,'All Features'!$B$2:$B$423,$B30,'All Features'!$C$2:$C$423,$C30))</f>
        <v>46260</v>
      </c>
      <c r="F30" s="11" t="n">
        <f aca="false">IF(COUNTIFS('All Features'!$B$2:$B$423,$B30,'All Features'!$C$2:$C$423,$C30,'All Features'!$J$2:$J$423,"&gt;0")=0,"",_xlfn.MAXIFS('All Features'!$J$2:$J$423,'All Features'!$B$2:$B$423,$B30,'All Features'!$C$2:$C$423,$C30))</f>
        <v>46260</v>
      </c>
      <c r="G30" s="5" t="n">
        <f aca="false">COUNTIFS('All Features'!$B$2:$B$423,$B30,'All Features'!$C$2:$C$423,$C30)</f>
        <v>2</v>
      </c>
      <c r="H30" s="5" t="n">
        <f aca="false">COUNTIFS('All Features'!$B$2:$B$423,$B30,'All Features'!$C$2:$C$423,$C30,'All Features'!$O$2:$O$423,"COMPLETED")</f>
        <v>1</v>
      </c>
      <c r="I30" s="5" t="n">
        <f aca="false">COUNTIFS('All Features'!$B$2:$B$423,$B30,'All Features'!$C$2:$C$423,$C30,'All Features'!$O$2:$O$423,"IMPLEMENTED BUT NOT VERIFIED")</f>
        <v>0</v>
      </c>
      <c r="J30" s="5" t="n">
        <f aca="false">COUNTIFS('All Features'!$B$2:$B$423,$B30,'All Features'!$C$2:$C$423,$C30,'All Features'!$O$2:$O$423,"BLOCKED")</f>
        <v>0</v>
      </c>
      <c r="K30" s="5" t="n">
        <f aca="false">COUNTIFS('All Features'!$B$2:$B$423,$B30,'All Features'!$C$2:$C$423,$C30,'All Features'!$O$2:$O$423,"IN PROGRESS")</f>
        <v>0</v>
      </c>
      <c r="L30" s="5" t="n">
        <f aca="false">COUNTIFS('All Features'!$B$2:$B$423,$B30,'All Features'!$C$2:$C$423,$C30,'All Features'!$O$2:$O$423,"IN REVIEW*")</f>
        <v>0</v>
      </c>
      <c r="M30" s="5" t="n">
        <f aca="false">COUNTIFS('All Features'!$B$2:$B$423,$B30,'All Features'!$C$2:$C$423,$C30,'All Features'!$O$2:$O$423,"NOT STARTED")</f>
        <v>1</v>
      </c>
      <c r="N30" s="5" t="n">
        <f aca="false">COUNTIFS('All Features'!$B$2:$B$423,$B30,'All Features'!$C$2:$C$423,$C30,'All Features'!$O$2:$O$423,"SUPERSEDED")</f>
        <v>0</v>
      </c>
      <c r="O30" s="5" t="n">
        <f aca="false">COUNTIFS('All Features'!$B$2:$B$423,$B30,'All Features'!$C$2:$C$423,$C30,'All Features'!$L$2:$L$423,"Yes")</f>
        <v>1</v>
      </c>
      <c r="P30" s="12" t="n">
        <f aca="false">IFERROR((H30+N30)/G30,0)</f>
        <v>0.5</v>
      </c>
      <c r="Q30" s="12" t="n">
        <f aca="false">IFERROR(AVERAGEIFS('All Features'!$Q$2:$Q$423,'All Features'!$B$2:$B$423,$B30,'All Features'!$C$2:$C$423,$C30),"")</f>
        <v>0.5</v>
      </c>
      <c r="R30" s="5" t="str">
        <f aca="false">IF(G30=0,"-",IF(H30+N30=G30,"COMPLETED",IF(M30=G30,"NOT STARTED",IF(H30+I30+N30=G30,"BUILT - VERIFICATION PENDING","IN PROGRESS"&amp;IF(J30&gt;0," - "&amp;J30&amp;" BLOCKED","")&amp;IF(L30&gt;0," - "&amp;L30&amp;" in review","")))))</f>
        <v>IN PROGRESS</v>
      </c>
    </row>
    <row r="31" customFormat="false" ht="15" hidden="false" customHeight="false" outlineLevel="0" collapsed="false">
      <c r="A31" s="5" t="s">
        <v>23</v>
      </c>
      <c r="B31" s="5" t="s">
        <v>98</v>
      </c>
      <c r="C31" s="5" t="n">
        <v>4</v>
      </c>
      <c r="D31" s="6" t="s">
        <v>102</v>
      </c>
      <c r="E31" s="11" t="n">
        <f aca="false">IF(COUNTIFS('All Features'!$B$2:$B$423,$B31,'All Features'!$C$2:$C$423,$C31,'All Features'!$J$2:$J$423,"&gt;0")=0,"",_xlfn.MINIFS('All Features'!$J$2:$J$423,'All Features'!$B$2:$B$423,$B31,'All Features'!$C$2:$C$423,$C31))</f>
        <v>46267</v>
      </c>
      <c r="F31" s="11" t="n">
        <f aca="false">IF(COUNTIFS('All Features'!$B$2:$B$423,$B31,'All Features'!$C$2:$C$423,$C31,'All Features'!$J$2:$J$423,"&gt;0")=0,"",_xlfn.MAXIFS('All Features'!$J$2:$J$423,'All Features'!$B$2:$B$423,$B31,'All Features'!$C$2:$C$423,$C31))</f>
        <v>46267</v>
      </c>
      <c r="G31" s="5" t="n">
        <f aca="false">COUNTIFS('All Features'!$B$2:$B$423,$B31,'All Features'!$C$2:$C$423,$C31)</f>
        <v>5</v>
      </c>
      <c r="H31" s="5" t="n">
        <f aca="false">COUNTIFS('All Features'!$B$2:$B$423,$B31,'All Features'!$C$2:$C$423,$C31,'All Features'!$O$2:$O$423,"COMPLETED")</f>
        <v>1</v>
      </c>
      <c r="I31" s="5" t="n">
        <f aca="false">COUNTIFS('All Features'!$B$2:$B$423,$B31,'All Features'!$C$2:$C$423,$C31,'All Features'!$O$2:$O$423,"IMPLEMENTED BUT NOT VERIFIED")</f>
        <v>0</v>
      </c>
      <c r="J31" s="5" t="n">
        <f aca="false">COUNTIFS('All Features'!$B$2:$B$423,$B31,'All Features'!$C$2:$C$423,$C31,'All Features'!$O$2:$O$423,"BLOCKED")</f>
        <v>0</v>
      </c>
      <c r="K31" s="5" t="n">
        <f aca="false">COUNTIFS('All Features'!$B$2:$B$423,$B31,'All Features'!$C$2:$C$423,$C31,'All Features'!$O$2:$O$423,"IN PROGRESS")</f>
        <v>0</v>
      </c>
      <c r="L31" s="5" t="n">
        <f aca="false">COUNTIFS('All Features'!$B$2:$B$423,$B31,'All Features'!$C$2:$C$423,$C31,'All Features'!$O$2:$O$423,"IN REVIEW*")</f>
        <v>0</v>
      </c>
      <c r="M31" s="5" t="n">
        <f aca="false">COUNTIFS('All Features'!$B$2:$B$423,$B31,'All Features'!$C$2:$C$423,$C31,'All Features'!$O$2:$O$423,"NOT STARTED")</f>
        <v>4</v>
      </c>
      <c r="N31" s="5" t="n">
        <f aca="false">COUNTIFS('All Features'!$B$2:$B$423,$B31,'All Features'!$C$2:$C$423,$C31,'All Features'!$O$2:$O$423,"SUPERSEDED")</f>
        <v>0</v>
      </c>
      <c r="O31" s="5" t="n">
        <f aca="false">COUNTIFS('All Features'!$B$2:$B$423,$B31,'All Features'!$C$2:$C$423,$C31,'All Features'!$L$2:$L$423,"Yes")</f>
        <v>1</v>
      </c>
      <c r="P31" s="12" t="n">
        <f aca="false">IFERROR((H31+N31)/G31,0)</f>
        <v>0.2</v>
      </c>
      <c r="Q31" s="12" t="n">
        <f aca="false">IFERROR(AVERAGEIFS('All Features'!$Q$2:$Q$423,'All Features'!$B$2:$B$423,$B31,'All Features'!$C$2:$C$423,$C31),"")</f>
        <v>0.2</v>
      </c>
      <c r="R31" s="5" t="str">
        <f aca="false">IF(G31=0,"-",IF(H31+N31=G31,"COMPLETED",IF(M31=G31,"NOT STARTED",IF(H31+I31+N31=G31,"BUILT - VERIFICATION PENDING","IN PROGRESS"&amp;IF(J31&gt;0," - "&amp;J31&amp;" BLOCKED","")&amp;IF(L31&gt;0," - "&amp;L31&amp;" in review","")))))</f>
        <v>IN PROGRESS</v>
      </c>
    </row>
    <row r="32" customFormat="false" ht="15" hidden="false" customHeight="false" outlineLevel="0" collapsed="false">
      <c r="A32" s="5" t="s">
        <v>23</v>
      </c>
      <c r="B32" s="5" t="s">
        <v>98</v>
      </c>
      <c r="C32" s="5" t="n">
        <v>5</v>
      </c>
      <c r="D32" s="6" t="s">
        <v>103</v>
      </c>
      <c r="E32" s="11" t="n">
        <f aca="false">IF(COUNTIFS('All Features'!$B$2:$B$423,$B32,'All Features'!$C$2:$C$423,$C32,'All Features'!$J$2:$J$423,"&gt;0")=0,"",_xlfn.MINIFS('All Features'!$J$2:$J$423,'All Features'!$B$2:$B$423,$B32,'All Features'!$C$2:$C$423,$C32))</f>
        <v>46268</v>
      </c>
      <c r="F32" s="11" t="n">
        <f aca="false">IF(COUNTIFS('All Features'!$B$2:$B$423,$B32,'All Features'!$C$2:$C$423,$C32,'All Features'!$J$2:$J$423,"&gt;0")=0,"",_xlfn.MAXIFS('All Features'!$J$2:$J$423,'All Features'!$B$2:$B$423,$B32,'All Features'!$C$2:$C$423,$C32))</f>
        <v>46268</v>
      </c>
      <c r="G32" s="5" t="n">
        <f aca="false">COUNTIFS('All Features'!$B$2:$B$423,$B32,'All Features'!$C$2:$C$423,$C32)</f>
        <v>3</v>
      </c>
      <c r="H32" s="5" t="n">
        <f aca="false">COUNTIFS('All Features'!$B$2:$B$423,$B32,'All Features'!$C$2:$C$423,$C32,'All Features'!$O$2:$O$423,"COMPLETED")</f>
        <v>2</v>
      </c>
      <c r="I32" s="5" t="n">
        <f aca="false">COUNTIFS('All Features'!$B$2:$B$423,$B32,'All Features'!$C$2:$C$423,$C32,'All Features'!$O$2:$O$423,"IMPLEMENTED BUT NOT VERIFIED")</f>
        <v>0</v>
      </c>
      <c r="J32" s="5" t="n">
        <f aca="false">COUNTIFS('All Features'!$B$2:$B$423,$B32,'All Features'!$C$2:$C$423,$C32,'All Features'!$O$2:$O$423,"BLOCKED")</f>
        <v>0</v>
      </c>
      <c r="K32" s="5" t="n">
        <f aca="false">COUNTIFS('All Features'!$B$2:$B$423,$B32,'All Features'!$C$2:$C$423,$C32,'All Features'!$O$2:$O$423,"IN PROGRESS")</f>
        <v>0</v>
      </c>
      <c r="L32" s="5" t="n">
        <f aca="false">COUNTIFS('All Features'!$B$2:$B$423,$B32,'All Features'!$C$2:$C$423,$C32,'All Features'!$O$2:$O$423,"IN REVIEW*")</f>
        <v>0</v>
      </c>
      <c r="M32" s="5" t="n">
        <f aca="false">COUNTIFS('All Features'!$B$2:$B$423,$B32,'All Features'!$C$2:$C$423,$C32,'All Features'!$O$2:$O$423,"NOT STARTED")</f>
        <v>1</v>
      </c>
      <c r="N32" s="5" t="n">
        <f aca="false">COUNTIFS('All Features'!$B$2:$B$423,$B32,'All Features'!$C$2:$C$423,$C32,'All Features'!$O$2:$O$423,"SUPERSEDED")</f>
        <v>0</v>
      </c>
      <c r="O32" s="5" t="n">
        <f aca="false">COUNTIFS('All Features'!$B$2:$B$423,$B32,'All Features'!$C$2:$C$423,$C32,'All Features'!$L$2:$L$423,"Yes")</f>
        <v>2</v>
      </c>
      <c r="P32" s="12" t="n">
        <f aca="false">IFERROR((H32+N32)/G32,0)</f>
        <v>0.666666666666667</v>
      </c>
      <c r="Q32" s="12" t="n">
        <f aca="false">IFERROR(AVERAGEIFS('All Features'!$Q$2:$Q$423,'All Features'!$B$2:$B$423,$B32,'All Features'!$C$2:$C$423,$C32),"")</f>
        <v>0.666666666666667</v>
      </c>
      <c r="R32" s="5" t="str">
        <f aca="false">IF(G32=0,"-",IF(H32+N32=G32,"COMPLETED",IF(M32=G32,"NOT STARTED",IF(H32+I32+N32=G32,"BUILT - VERIFICATION PENDING","IN PROGRESS"&amp;IF(J32&gt;0," - "&amp;J32&amp;" BLOCKED","")&amp;IF(L32&gt;0," - "&amp;L32&amp;" in review","")))))</f>
        <v>IN PROGRESS</v>
      </c>
    </row>
    <row r="33" customFormat="false" ht="15" hidden="false" customHeight="false" outlineLevel="0" collapsed="false">
      <c r="A33" s="5" t="s">
        <v>23</v>
      </c>
      <c r="B33" s="5" t="s">
        <v>98</v>
      </c>
      <c r="C33" s="5" t="n">
        <v>6</v>
      </c>
      <c r="D33" s="6" t="s">
        <v>104</v>
      </c>
      <c r="E33" s="11" t="n">
        <f aca="false">IF(COUNTIFS('All Features'!$B$2:$B$423,$B33,'All Features'!$C$2:$C$423,$C33,'All Features'!$J$2:$J$423,"&gt;0")=0,"",_xlfn.MINIFS('All Features'!$J$2:$J$423,'All Features'!$B$2:$B$423,$B33,'All Features'!$C$2:$C$423,$C33))</f>
        <v>46268</v>
      </c>
      <c r="F33" s="11" t="n">
        <f aca="false">IF(COUNTIFS('All Features'!$B$2:$B$423,$B33,'All Features'!$C$2:$C$423,$C33,'All Features'!$J$2:$J$423,"&gt;0")=0,"",_xlfn.MAXIFS('All Features'!$J$2:$J$423,'All Features'!$B$2:$B$423,$B33,'All Features'!$C$2:$C$423,$C33))</f>
        <v>46268</v>
      </c>
      <c r="G33" s="5" t="n">
        <f aca="false">COUNTIFS('All Features'!$B$2:$B$423,$B33,'All Features'!$C$2:$C$423,$C33)</f>
        <v>6</v>
      </c>
      <c r="H33" s="5" t="n">
        <f aca="false">COUNTIFS('All Features'!$B$2:$B$423,$B33,'All Features'!$C$2:$C$423,$C33,'All Features'!$O$2:$O$423,"COMPLETED")</f>
        <v>4</v>
      </c>
      <c r="I33" s="5" t="n">
        <f aca="false">COUNTIFS('All Features'!$B$2:$B$423,$B33,'All Features'!$C$2:$C$423,$C33,'All Features'!$O$2:$O$423,"IMPLEMENTED BUT NOT VERIFIED")</f>
        <v>0</v>
      </c>
      <c r="J33" s="5" t="n">
        <f aca="false">COUNTIFS('All Features'!$B$2:$B$423,$B33,'All Features'!$C$2:$C$423,$C33,'All Features'!$O$2:$O$423,"BLOCKED")</f>
        <v>0</v>
      </c>
      <c r="K33" s="5" t="n">
        <f aca="false">COUNTIFS('All Features'!$B$2:$B$423,$B33,'All Features'!$C$2:$C$423,$C33,'All Features'!$O$2:$O$423,"IN PROGRESS")</f>
        <v>0</v>
      </c>
      <c r="L33" s="5" t="n">
        <f aca="false">COUNTIFS('All Features'!$B$2:$B$423,$B33,'All Features'!$C$2:$C$423,$C33,'All Features'!$O$2:$O$423,"IN REVIEW*")</f>
        <v>0</v>
      </c>
      <c r="M33" s="5" t="n">
        <f aca="false">COUNTIFS('All Features'!$B$2:$B$423,$B33,'All Features'!$C$2:$C$423,$C33,'All Features'!$O$2:$O$423,"NOT STARTED")</f>
        <v>2</v>
      </c>
      <c r="N33" s="5" t="n">
        <f aca="false">COUNTIFS('All Features'!$B$2:$B$423,$B33,'All Features'!$C$2:$C$423,$C33,'All Features'!$O$2:$O$423,"SUPERSEDED")</f>
        <v>0</v>
      </c>
      <c r="O33" s="5" t="n">
        <f aca="false">COUNTIFS('All Features'!$B$2:$B$423,$B33,'All Features'!$C$2:$C$423,$C33,'All Features'!$L$2:$L$423,"Yes")</f>
        <v>4</v>
      </c>
      <c r="P33" s="12" t="n">
        <f aca="false">IFERROR((H33+N33)/G33,0)</f>
        <v>0.666666666666667</v>
      </c>
      <c r="Q33" s="12" t="n">
        <f aca="false">IFERROR(AVERAGEIFS('All Features'!$Q$2:$Q$423,'All Features'!$B$2:$B$423,$B33,'All Features'!$C$2:$C$423,$C33),"")</f>
        <v>0.666666666666667</v>
      </c>
      <c r="R33" s="5" t="str">
        <f aca="false">IF(G33=0,"-",IF(H33+N33=G33,"COMPLETED",IF(M33=G33,"NOT STARTED",IF(H33+I33+N33=G33,"BUILT - VERIFICATION PENDING","IN PROGRESS"&amp;IF(J33&gt;0," - "&amp;J33&amp;" BLOCKED","")&amp;IF(L33&gt;0," - "&amp;L33&amp;" in review","")))))</f>
        <v>IN PROGRESS</v>
      </c>
    </row>
    <row r="34" customFormat="false" ht="15" hidden="false" customHeight="false" outlineLevel="0" collapsed="false">
      <c r="A34" s="5" t="s">
        <v>23</v>
      </c>
      <c r="B34" s="5" t="s">
        <v>98</v>
      </c>
      <c r="C34" s="5" t="n">
        <v>7</v>
      </c>
      <c r="D34" s="6" t="s">
        <v>105</v>
      </c>
      <c r="E34" s="11" t="n">
        <f aca="false">IF(COUNTIFS('All Features'!$B$2:$B$423,$B34,'All Features'!$C$2:$C$423,$C34,'All Features'!$J$2:$J$423,"&gt;0")=0,"",_xlfn.MINIFS('All Features'!$J$2:$J$423,'All Features'!$B$2:$B$423,$B34,'All Features'!$C$2:$C$423,$C34))</f>
        <v>46268</v>
      </c>
      <c r="F34" s="11" t="n">
        <f aca="false">IF(COUNTIFS('All Features'!$B$2:$B$423,$B34,'All Features'!$C$2:$C$423,$C34,'All Features'!$J$2:$J$423,"&gt;0")=0,"",_xlfn.MAXIFS('All Features'!$J$2:$J$423,'All Features'!$B$2:$B$423,$B34,'All Features'!$C$2:$C$423,$C34))</f>
        <v>46268</v>
      </c>
      <c r="G34" s="5" t="n">
        <f aca="false">COUNTIFS('All Features'!$B$2:$B$423,$B34,'All Features'!$C$2:$C$423,$C34)</f>
        <v>3</v>
      </c>
      <c r="H34" s="5" t="n">
        <f aca="false">COUNTIFS('All Features'!$B$2:$B$423,$B34,'All Features'!$C$2:$C$423,$C34,'All Features'!$O$2:$O$423,"COMPLETED")</f>
        <v>2</v>
      </c>
      <c r="I34" s="5" t="n">
        <f aca="false">COUNTIFS('All Features'!$B$2:$B$423,$B34,'All Features'!$C$2:$C$423,$C34,'All Features'!$O$2:$O$423,"IMPLEMENTED BUT NOT VERIFIED")</f>
        <v>0</v>
      </c>
      <c r="J34" s="5" t="n">
        <f aca="false">COUNTIFS('All Features'!$B$2:$B$423,$B34,'All Features'!$C$2:$C$423,$C34,'All Features'!$O$2:$O$423,"BLOCKED")</f>
        <v>0</v>
      </c>
      <c r="K34" s="5" t="n">
        <f aca="false">COUNTIFS('All Features'!$B$2:$B$423,$B34,'All Features'!$C$2:$C$423,$C34,'All Features'!$O$2:$O$423,"IN PROGRESS")</f>
        <v>0</v>
      </c>
      <c r="L34" s="5" t="n">
        <f aca="false">COUNTIFS('All Features'!$B$2:$B$423,$B34,'All Features'!$C$2:$C$423,$C34,'All Features'!$O$2:$O$423,"IN REVIEW*")</f>
        <v>0</v>
      </c>
      <c r="M34" s="5" t="n">
        <f aca="false">COUNTIFS('All Features'!$B$2:$B$423,$B34,'All Features'!$C$2:$C$423,$C34,'All Features'!$O$2:$O$423,"NOT STARTED")</f>
        <v>1</v>
      </c>
      <c r="N34" s="5" t="n">
        <f aca="false">COUNTIFS('All Features'!$B$2:$B$423,$B34,'All Features'!$C$2:$C$423,$C34,'All Features'!$O$2:$O$423,"SUPERSEDED")</f>
        <v>0</v>
      </c>
      <c r="O34" s="5" t="n">
        <f aca="false">COUNTIFS('All Features'!$B$2:$B$423,$B34,'All Features'!$C$2:$C$423,$C34,'All Features'!$L$2:$L$423,"Yes")</f>
        <v>2</v>
      </c>
      <c r="P34" s="12" t="n">
        <f aca="false">IFERROR((H34+N34)/G34,0)</f>
        <v>0.666666666666667</v>
      </c>
      <c r="Q34" s="12" t="n">
        <f aca="false">IFERROR(AVERAGEIFS('All Features'!$Q$2:$Q$423,'All Features'!$B$2:$B$423,$B34,'All Features'!$C$2:$C$423,$C34),"")</f>
        <v>0.666666666666667</v>
      </c>
      <c r="R34" s="5" t="str">
        <f aca="false">IF(G34=0,"-",IF(H34+N34=G34,"COMPLETED",IF(M34=G34,"NOT STARTED",IF(H34+I34+N34=G34,"BUILT - VERIFICATION PENDING","IN PROGRESS"&amp;IF(J34&gt;0," - "&amp;J34&amp;" BLOCKED","")&amp;IF(L34&gt;0," - "&amp;L34&amp;" in review","")))))</f>
        <v>IN PROGRESS</v>
      </c>
    </row>
    <row r="35" customFormat="false" ht="15" hidden="false" customHeight="false" outlineLevel="0" collapsed="false">
      <c r="A35" s="5" t="s">
        <v>23</v>
      </c>
      <c r="B35" s="5" t="s">
        <v>98</v>
      </c>
      <c r="C35" s="5" t="n">
        <v>8</v>
      </c>
      <c r="D35" s="6" t="s">
        <v>106</v>
      </c>
      <c r="E35" s="11" t="n">
        <f aca="false">IF(COUNTIFS('All Features'!$B$2:$B$423,$B35,'All Features'!$C$2:$C$423,$C35,'All Features'!$J$2:$J$423,"&gt;0")=0,"",_xlfn.MINIFS('All Features'!$J$2:$J$423,'All Features'!$B$2:$B$423,$B35,'All Features'!$C$2:$C$423,$C35))</f>
        <v>46268</v>
      </c>
      <c r="F35" s="11" t="n">
        <f aca="false">IF(COUNTIFS('All Features'!$B$2:$B$423,$B35,'All Features'!$C$2:$C$423,$C35,'All Features'!$J$2:$J$423,"&gt;0")=0,"",_xlfn.MAXIFS('All Features'!$J$2:$J$423,'All Features'!$B$2:$B$423,$B35,'All Features'!$C$2:$C$423,$C35))</f>
        <v>46268</v>
      </c>
      <c r="G35" s="5" t="n">
        <f aca="false">COUNTIFS('All Features'!$B$2:$B$423,$B35,'All Features'!$C$2:$C$423,$C35)</f>
        <v>2</v>
      </c>
      <c r="H35" s="5" t="n">
        <f aca="false">COUNTIFS('All Features'!$B$2:$B$423,$B35,'All Features'!$C$2:$C$423,$C35,'All Features'!$O$2:$O$423,"COMPLETED")</f>
        <v>1</v>
      </c>
      <c r="I35" s="5" t="n">
        <f aca="false">COUNTIFS('All Features'!$B$2:$B$423,$B35,'All Features'!$C$2:$C$423,$C35,'All Features'!$O$2:$O$423,"IMPLEMENTED BUT NOT VERIFIED")</f>
        <v>0</v>
      </c>
      <c r="J35" s="5" t="n">
        <f aca="false">COUNTIFS('All Features'!$B$2:$B$423,$B35,'All Features'!$C$2:$C$423,$C35,'All Features'!$O$2:$O$423,"BLOCKED")</f>
        <v>0</v>
      </c>
      <c r="K35" s="5" t="n">
        <f aca="false">COUNTIFS('All Features'!$B$2:$B$423,$B35,'All Features'!$C$2:$C$423,$C35,'All Features'!$O$2:$O$423,"IN PROGRESS")</f>
        <v>0</v>
      </c>
      <c r="L35" s="5" t="n">
        <f aca="false">COUNTIFS('All Features'!$B$2:$B$423,$B35,'All Features'!$C$2:$C$423,$C35,'All Features'!$O$2:$O$423,"IN REVIEW*")</f>
        <v>0</v>
      </c>
      <c r="M35" s="5" t="n">
        <f aca="false">COUNTIFS('All Features'!$B$2:$B$423,$B35,'All Features'!$C$2:$C$423,$C35,'All Features'!$O$2:$O$423,"NOT STARTED")</f>
        <v>1</v>
      </c>
      <c r="N35" s="5" t="n">
        <f aca="false">COUNTIFS('All Features'!$B$2:$B$423,$B35,'All Features'!$C$2:$C$423,$C35,'All Features'!$O$2:$O$423,"SUPERSEDED")</f>
        <v>0</v>
      </c>
      <c r="O35" s="5" t="n">
        <f aca="false">COUNTIFS('All Features'!$B$2:$B$423,$B35,'All Features'!$C$2:$C$423,$C35,'All Features'!$L$2:$L$423,"Yes")</f>
        <v>1</v>
      </c>
      <c r="P35" s="12" t="n">
        <f aca="false">IFERROR((H35+N35)/G35,0)</f>
        <v>0.5</v>
      </c>
      <c r="Q35" s="12" t="n">
        <f aca="false">IFERROR(AVERAGEIFS('All Features'!$Q$2:$Q$423,'All Features'!$B$2:$B$423,$B35,'All Features'!$C$2:$C$423,$C35),"")</f>
        <v>0.5</v>
      </c>
      <c r="R35" s="5" t="str">
        <f aca="false">IF(G35=0,"-",IF(H35+N35=G35,"COMPLETED",IF(M35=G35,"NOT STARTED",IF(H35+I35+N35=G35,"BUILT - VERIFICATION PENDING","IN PROGRESS"&amp;IF(J35&gt;0," - "&amp;J35&amp;" BLOCKED","")&amp;IF(L35&gt;0," - "&amp;L35&amp;" in review","")))))</f>
        <v>IN PROGRESS</v>
      </c>
    </row>
    <row r="36" customFormat="false" ht="15" hidden="false" customHeight="false" outlineLevel="0" collapsed="false">
      <c r="A36" s="5" t="s">
        <v>23</v>
      </c>
      <c r="B36" s="5" t="s">
        <v>98</v>
      </c>
      <c r="C36" s="5" t="n">
        <v>9</v>
      </c>
      <c r="D36" s="6" t="s">
        <v>107</v>
      </c>
      <c r="E36" s="11" t="n">
        <f aca="false">IF(COUNTIFS('All Features'!$B$2:$B$423,$B36,'All Features'!$C$2:$C$423,$C36,'All Features'!$J$2:$J$423,"&gt;0")=0,"",_xlfn.MINIFS('All Features'!$J$2:$J$423,'All Features'!$B$2:$B$423,$B36,'All Features'!$C$2:$C$423,$C36))</f>
        <v>46268</v>
      </c>
      <c r="F36" s="11" t="n">
        <f aca="false">IF(COUNTIFS('All Features'!$B$2:$B$423,$B36,'All Features'!$C$2:$C$423,$C36,'All Features'!$J$2:$J$423,"&gt;0")=0,"",_xlfn.MAXIFS('All Features'!$J$2:$J$423,'All Features'!$B$2:$B$423,$B36,'All Features'!$C$2:$C$423,$C36))</f>
        <v>46268</v>
      </c>
      <c r="G36" s="5" t="n">
        <f aca="false">COUNTIFS('All Features'!$B$2:$B$423,$B36,'All Features'!$C$2:$C$423,$C36)</f>
        <v>4</v>
      </c>
      <c r="H36" s="5" t="n">
        <f aca="false">COUNTIFS('All Features'!$B$2:$B$423,$B36,'All Features'!$C$2:$C$423,$C36,'All Features'!$O$2:$O$423,"COMPLETED")</f>
        <v>4</v>
      </c>
      <c r="I36" s="5" t="n">
        <f aca="false">COUNTIFS('All Features'!$B$2:$B$423,$B36,'All Features'!$C$2:$C$423,$C36,'All Features'!$O$2:$O$423,"IMPLEMENTED BUT NOT VERIFIED")</f>
        <v>0</v>
      </c>
      <c r="J36" s="5" t="n">
        <f aca="false">COUNTIFS('All Features'!$B$2:$B$423,$B36,'All Features'!$C$2:$C$423,$C36,'All Features'!$O$2:$O$423,"BLOCKED")</f>
        <v>0</v>
      </c>
      <c r="K36" s="5" t="n">
        <f aca="false">COUNTIFS('All Features'!$B$2:$B$423,$B36,'All Features'!$C$2:$C$423,$C36,'All Features'!$O$2:$O$423,"IN PROGRESS")</f>
        <v>0</v>
      </c>
      <c r="L36" s="5" t="n">
        <f aca="false">COUNTIFS('All Features'!$B$2:$B$423,$B36,'All Features'!$C$2:$C$423,$C36,'All Features'!$O$2:$O$423,"IN REVIEW*")</f>
        <v>0</v>
      </c>
      <c r="M36" s="5" t="n">
        <f aca="false">COUNTIFS('All Features'!$B$2:$B$423,$B36,'All Features'!$C$2:$C$423,$C36,'All Features'!$O$2:$O$423,"NOT STARTED")</f>
        <v>0</v>
      </c>
      <c r="N36" s="5" t="n">
        <f aca="false">COUNTIFS('All Features'!$B$2:$B$423,$B36,'All Features'!$C$2:$C$423,$C36,'All Features'!$O$2:$O$423,"SUPERSEDED")</f>
        <v>0</v>
      </c>
      <c r="O36" s="5" t="n">
        <f aca="false">COUNTIFS('All Features'!$B$2:$B$423,$B36,'All Features'!$C$2:$C$423,$C36,'All Features'!$L$2:$L$423,"Yes")</f>
        <v>4</v>
      </c>
      <c r="P36" s="12" t="n">
        <f aca="false">IFERROR((H36+N36)/G36,0)</f>
        <v>1</v>
      </c>
      <c r="Q36" s="12" t="n">
        <f aca="false">IFERROR(AVERAGEIFS('All Features'!$Q$2:$Q$423,'All Features'!$B$2:$B$423,$B36,'All Features'!$C$2:$C$423,$C36),"")</f>
        <v>1</v>
      </c>
      <c r="R36" s="5" t="str">
        <f aca="false">IF(G36=0,"-",IF(H36+N36=G36,"COMPLETED",IF(M36=G36,"NOT STARTED",IF(H36+I36+N36=G36,"BUILT - VERIFICATION PENDING","IN PROGRESS"&amp;IF(J36&gt;0," - "&amp;J36&amp;" BLOCKED","")&amp;IF(L36&gt;0," - "&amp;L36&amp;" in review","")))))</f>
        <v>COMPLETED</v>
      </c>
    </row>
    <row r="37" customFormat="false" ht="15" hidden="false" customHeight="false" outlineLevel="0" collapsed="false">
      <c r="A37" s="5" t="s">
        <v>23</v>
      </c>
      <c r="B37" s="5" t="s">
        <v>98</v>
      </c>
      <c r="C37" s="5" t="n">
        <v>10</v>
      </c>
      <c r="D37" s="6" t="s">
        <v>108</v>
      </c>
      <c r="E37" s="11" t="str">
        <f aca="false">IF(COUNTIFS('All Features'!$B$2:$B$423,$B37,'All Features'!$C$2:$C$423,$C37,'All Features'!$J$2:$J$423,"&gt;0")=0,"",_xlfn.MINIFS('All Features'!$J$2:$J$423,'All Features'!$B$2:$B$423,$B37,'All Features'!$C$2:$C$423,$C37))</f>
        <v/>
      </c>
      <c r="F37" s="11" t="str">
        <f aca="false">IF(COUNTIFS('All Features'!$B$2:$B$423,$B37,'All Features'!$C$2:$C$423,$C37,'All Features'!$J$2:$J$423,"&gt;0")=0,"",_xlfn.MAXIFS('All Features'!$J$2:$J$423,'All Features'!$B$2:$B$423,$B37,'All Features'!$C$2:$C$423,$C37))</f>
        <v/>
      </c>
      <c r="G37" s="5" t="n">
        <f aca="false">COUNTIFS('All Features'!$B$2:$B$423,$B37,'All Features'!$C$2:$C$423,$C37)</f>
        <v>1</v>
      </c>
      <c r="H37" s="5" t="n">
        <f aca="false">COUNTIFS('All Features'!$B$2:$B$423,$B37,'All Features'!$C$2:$C$423,$C37,'All Features'!$O$2:$O$423,"COMPLETED")</f>
        <v>0</v>
      </c>
      <c r="I37" s="5" t="n">
        <f aca="false">COUNTIFS('All Features'!$B$2:$B$423,$B37,'All Features'!$C$2:$C$423,$C37,'All Features'!$O$2:$O$423,"IMPLEMENTED BUT NOT VERIFIED")</f>
        <v>0</v>
      </c>
      <c r="J37" s="5" t="n">
        <f aca="false">COUNTIFS('All Features'!$B$2:$B$423,$B37,'All Features'!$C$2:$C$423,$C37,'All Features'!$O$2:$O$423,"BLOCKED")</f>
        <v>0</v>
      </c>
      <c r="K37" s="5" t="n">
        <f aca="false">COUNTIFS('All Features'!$B$2:$B$423,$B37,'All Features'!$C$2:$C$423,$C37,'All Features'!$O$2:$O$423,"IN PROGRESS")</f>
        <v>0</v>
      </c>
      <c r="L37" s="5" t="n">
        <f aca="false">COUNTIFS('All Features'!$B$2:$B$423,$B37,'All Features'!$C$2:$C$423,$C37,'All Features'!$O$2:$O$423,"IN REVIEW*")</f>
        <v>0</v>
      </c>
      <c r="M37" s="5" t="n">
        <f aca="false">COUNTIFS('All Features'!$B$2:$B$423,$B37,'All Features'!$C$2:$C$423,$C37,'All Features'!$O$2:$O$423,"NOT STARTED")</f>
        <v>1</v>
      </c>
      <c r="N37" s="5" t="n">
        <f aca="false">COUNTIFS('All Features'!$B$2:$B$423,$B37,'All Features'!$C$2:$C$423,$C37,'All Features'!$O$2:$O$423,"SUPERSEDED")</f>
        <v>0</v>
      </c>
      <c r="O37" s="5" t="n">
        <f aca="false">COUNTIFS('All Features'!$B$2:$B$423,$B37,'All Features'!$C$2:$C$423,$C37,'All Features'!$L$2:$L$423,"Yes")</f>
        <v>0</v>
      </c>
      <c r="P37" s="12" t="n">
        <f aca="false">IFERROR((H37+N37)/G37,0)</f>
        <v>0</v>
      </c>
      <c r="Q37" s="12" t="n">
        <f aca="false">IFERROR(AVERAGEIFS('All Features'!$Q$2:$Q$423,'All Features'!$B$2:$B$423,$B37,'All Features'!$C$2:$C$423,$C37),"")</f>
        <v>0</v>
      </c>
      <c r="R37" s="5" t="str">
        <f aca="false">IF(G37=0,"-",IF(H37+N37=G37,"COMPLETED",IF(M37=G37,"NOT STARTED",IF(H37+I37+N37=G37,"BUILT - VERIFICATION PENDING","IN PROGRESS"&amp;IF(J37&gt;0," - "&amp;J37&amp;" BLOCKED","")&amp;IF(L37&gt;0," - "&amp;L37&amp;" in review","")))))</f>
        <v>NOT STARTED</v>
      </c>
    </row>
    <row r="39" customFormat="false" ht="15" hidden="false" customHeight="false" outlineLevel="0" collapsed="false">
      <c r="A39" s="3" t="s">
        <v>109</v>
      </c>
    </row>
    <row r="40" customFormat="false" ht="30" hidden="false" customHeight="true" outlineLevel="0" collapsed="false">
      <c r="A40" s="4" t="s">
        <v>3</v>
      </c>
      <c r="B40" s="4" t="s">
        <v>62</v>
      </c>
      <c r="C40" s="4" t="s">
        <v>110</v>
      </c>
      <c r="D40" s="4"/>
      <c r="E40" s="4"/>
      <c r="F40" s="4"/>
      <c r="G40" s="4" t="s">
        <v>67</v>
      </c>
      <c r="H40" s="4" t="s">
        <v>32</v>
      </c>
      <c r="I40" s="4" t="s">
        <v>33</v>
      </c>
      <c r="J40" s="4" t="s">
        <v>34</v>
      </c>
      <c r="K40" s="4" t="s">
        <v>35</v>
      </c>
      <c r="L40" s="4" t="s">
        <v>68</v>
      </c>
      <c r="M40" s="4" t="s">
        <v>39</v>
      </c>
      <c r="N40" s="4" t="s">
        <v>38</v>
      </c>
      <c r="O40" s="4" t="s">
        <v>30</v>
      </c>
      <c r="P40" s="4" t="s">
        <v>69</v>
      </c>
      <c r="Q40" s="4" t="s">
        <v>70</v>
      </c>
      <c r="R40" s="4"/>
    </row>
    <row r="41" customFormat="false" ht="15" hidden="false" customHeight="false" outlineLevel="0" collapsed="false">
      <c r="A41" s="9" t="s">
        <v>10</v>
      </c>
      <c r="B41" s="9" t="s">
        <v>72</v>
      </c>
      <c r="C41" s="8" t="n">
        <f aca="false">COUNTIFS($B$5:$B$37,$B41)</f>
        <v>13</v>
      </c>
      <c r="D41" s="8"/>
      <c r="E41" s="8"/>
      <c r="F41" s="8"/>
      <c r="G41" s="8" t="n">
        <f aca="false">SUMIFS(G$5:G$37,$B$5:$B$37,$B41)</f>
        <v>337</v>
      </c>
      <c r="H41" s="8" t="n">
        <f aca="false">SUMIFS(H$5:H$37,$B$5:$B$37,$B41)</f>
        <v>130</v>
      </c>
      <c r="I41" s="8" t="n">
        <f aca="false">SUMIFS(I$5:I$37,$B$5:$B$37,$B41)</f>
        <v>197</v>
      </c>
      <c r="J41" s="8" t="n">
        <f aca="false">SUMIFS(J$5:J$37,$B$5:$B$37,$B41)</f>
        <v>9</v>
      </c>
      <c r="K41" s="8" t="n">
        <f aca="false">SUMIFS(K$5:K$37,$B$5:$B$37,$B41)</f>
        <v>1</v>
      </c>
      <c r="L41" s="8" t="n">
        <f aca="false">SUMIFS(L$5:L$37,$B$5:$B$37,$B41)</f>
        <v>0</v>
      </c>
      <c r="M41" s="8" t="n">
        <f aca="false">SUMIFS(M$5:M$37,$B$5:$B$37,$B41)</f>
        <v>0</v>
      </c>
      <c r="N41" s="8" t="n">
        <f aca="false">SUMIFS(N$5:N$37,$B$5:$B$37,$B41)</f>
        <v>0</v>
      </c>
      <c r="O41" s="8" t="n">
        <f aca="false">SUMIFS(O$5:O$37,$B$5:$B$37,$B41)</f>
        <v>337</v>
      </c>
      <c r="P41" s="13" t="n">
        <f aca="false">IFERROR((H41+N41)/G41,0)</f>
        <v>0.385756676557864</v>
      </c>
      <c r="Q41" s="13" t="n">
        <f aca="false">IFERROR(AVERAGEIFS('All Features'!$Q$2:$Q$423,'All Features'!$B$2:$B$423,$B41),"")</f>
        <v>0.811976047904192</v>
      </c>
    </row>
    <row r="42" customFormat="false" ht="15" hidden="false" customHeight="false" outlineLevel="0" collapsed="false">
      <c r="A42" s="9" t="s">
        <v>17</v>
      </c>
      <c r="B42" s="9" t="s">
        <v>86</v>
      </c>
      <c r="C42" s="8" t="n">
        <f aca="false">COUNTIFS($B$5:$B$37,$B42)</f>
        <v>6</v>
      </c>
      <c r="D42" s="8"/>
      <c r="E42" s="8"/>
      <c r="F42" s="8"/>
      <c r="G42" s="8" t="n">
        <f aca="false">SUMIFS(G$5:G$37,$B$5:$B$37,$B42)</f>
        <v>33</v>
      </c>
      <c r="H42" s="8" t="n">
        <f aca="false">SUMIFS(H$5:H$37,$B$5:$B$37,$B42)</f>
        <v>32</v>
      </c>
      <c r="I42" s="8" t="n">
        <f aca="false">SUMIFS(I$5:I$37,$B$5:$B$37,$B42)</f>
        <v>0</v>
      </c>
      <c r="J42" s="8" t="n">
        <f aca="false">SUMIFS(J$5:J$37,$B$5:$B$37,$B42)</f>
        <v>0</v>
      </c>
      <c r="K42" s="8" t="n">
        <f aca="false">SUMIFS(K$5:K$37,$B$5:$B$37,$B42)</f>
        <v>0</v>
      </c>
      <c r="L42" s="8" t="n">
        <f aca="false">SUMIFS(L$5:L$37,$B$5:$B$37,$B42)</f>
        <v>1</v>
      </c>
      <c r="M42" s="8" t="n">
        <f aca="false">SUMIFS(M$5:M$37,$B$5:$B$37,$B42)</f>
        <v>0</v>
      </c>
      <c r="N42" s="8" t="n">
        <f aca="false">SUMIFS(N$5:N$37,$B$5:$B$37,$B42)</f>
        <v>0</v>
      </c>
      <c r="O42" s="8" t="n">
        <f aca="false">SUMIFS(O$5:O$37,$B$5:$B$37,$B42)</f>
        <v>32</v>
      </c>
      <c r="P42" s="13" t="n">
        <f aca="false">IFERROR((H42+N42)/G42,0)</f>
        <v>0.96969696969697</v>
      </c>
      <c r="Q42" s="13" t="n">
        <f aca="false">IFERROR(AVERAGEIFS('All Features'!$Q$2:$Q$423,'All Features'!$B$2:$B$423,$B42),"")</f>
        <v>1</v>
      </c>
    </row>
    <row r="43" customFormat="false" ht="15" hidden="false" customHeight="false" outlineLevel="0" collapsed="false">
      <c r="A43" s="9" t="s">
        <v>23</v>
      </c>
      <c r="B43" s="9" t="s">
        <v>93</v>
      </c>
      <c r="C43" s="8" t="n">
        <f aca="false">COUNTIFS($B$5:$B$37,$B43)</f>
        <v>4</v>
      </c>
      <c r="D43" s="8"/>
      <c r="E43" s="8"/>
      <c r="F43" s="8"/>
      <c r="G43" s="8" t="n">
        <f aca="false">SUMIFS(G$5:G$37,$B$5:$B$37,$B43)</f>
        <v>21</v>
      </c>
      <c r="H43" s="8" t="n">
        <f aca="false">SUMIFS(H$5:H$37,$B$5:$B$37,$B43)</f>
        <v>19</v>
      </c>
      <c r="I43" s="8" t="n">
        <f aca="false">SUMIFS(I$5:I$37,$B$5:$B$37,$B43)</f>
        <v>0</v>
      </c>
      <c r="J43" s="8" t="n">
        <f aca="false">SUMIFS(J$5:J$37,$B$5:$B$37,$B43)</f>
        <v>0</v>
      </c>
      <c r="K43" s="8" t="n">
        <f aca="false">SUMIFS(K$5:K$37,$B$5:$B$37,$B43)</f>
        <v>0</v>
      </c>
      <c r="L43" s="8" t="n">
        <f aca="false">SUMIFS(L$5:L$37,$B$5:$B$37,$B43)</f>
        <v>1</v>
      </c>
      <c r="M43" s="8" t="n">
        <f aca="false">SUMIFS(M$5:M$37,$B$5:$B$37,$B43)</f>
        <v>0</v>
      </c>
      <c r="N43" s="8" t="n">
        <f aca="false">SUMIFS(N$5:N$37,$B$5:$B$37,$B43)</f>
        <v>1</v>
      </c>
      <c r="O43" s="8" t="n">
        <f aca="false">SUMIFS(O$5:O$37,$B$5:$B$37,$B43)</f>
        <v>20</v>
      </c>
      <c r="P43" s="13" t="n">
        <f aca="false">IFERROR((H43+N43)/G43,0)</f>
        <v>0.952380952380952</v>
      </c>
      <c r="Q43" s="13" t="n">
        <f aca="false">IFERROR(AVERAGEIFS('All Features'!$Q$2:$Q$423,'All Features'!$B$2:$B$423,$B43),"")</f>
        <v>1</v>
      </c>
    </row>
    <row r="44" customFormat="false" ht="15" hidden="false" customHeight="false" outlineLevel="0" collapsed="false">
      <c r="A44" s="9" t="s">
        <v>23</v>
      </c>
      <c r="B44" s="9" t="s">
        <v>98</v>
      </c>
      <c r="C44" s="8" t="n">
        <f aca="false">COUNTIFS($B$5:$B$37,$B44)</f>
        <v>10</v>
      </c>
      <c r="D44" s="8"/>
      <c r="E44" s="8"/>
      <c r="F44" s="8"/>
      <c r="G44" s="8" t="n">
        <f aca="false">SUMIFS(G$5:G$37,$B$5:$B$37,$B44)</f>
        <v>31</v>
      </c>
      <c r="H44" s="8" t="n">
        <f aca="false">SUMIFS(H$5:H$37,$B$5:$B$37,$B44)</f>
        <v>19</v>
      </c>
      <c r="I44" s="8" t="n">
        <f aca="false">SUMIFS(I$5:I$37,$B$5:$B$37,$B44)</f>
        <v>0</v>
      </c>
      <c r="J44" s="8" t="n">
        <f aca="false">SUMIFS(J$5:J$37,$B$5:$B$37,$B44)</f>
        <v>0</v>
      </c>
      <c r="K44" s="8" t="n">
        <f aca="false">SUMIFS(K$5:K$37,$B$5:$B$37,$B44)</f>
        <v>0</v>
      </c>
      <c r="L44" s="8" t="n">
        <f aca="false">SUMIFS(L$5:L$37,$B$5:$B$37,$B44)</f>
        <v>0</v>
      </c>
      <c r="M44" s="8" t="n">
        <f aca="false">SUMIFS(M$5:M$37,$B$5:$B$37,$B44)</f>
        <v>12</v>
      </c>
      <c r="N44" s="8" t="n">
        <f aca="false">SUMIFS(N$5:N$37,$B$5:$B$37,$B44)</f>
        <v>0</v>
      </c>
      <c r="O44" s="8" t="n">
        <f aca="false">SUMIFS(O$5:O$37,$B$5:$B$37,$B44)</f>
        <v>19</v>
      </c>
      <c r="P44" s="13" t="n">
        <f aca="false">IFERROR((H44+N44)/G44,0)</f>
        <v>0.612903225806452</v>
      </c>
      <c r="Q44" s="13" t="n">
        <f aca="false">IFERROR(AVERAGEIFS('All Features'!$Q$2:$Q$423,'All Features'!$B$2:$B$423,$B44),"")</f>
        <v>0.612903225806452</v>
      </c>
    </row>
    <row r="45" customFormat="false" ht="15" hidden="false" customHeight="false" outlineLevel="0" collapsed="false">
      <c r="A45" s="9"/>
      <c r="B45" s="9" t="s">
        <v>111</v>
      </c>
      <c r="C45" s="9"/>
      <c r="D45" s="9"/>
      <c r="E45" s="9"/>
      <c r="F45" s="9"/>
      <c r="G45" s="9" t="n">
        <f aca="false">SUM(G41:G44)</f>
        <v>422</v>
      </c>
      <c r="H45" s="9" t="n">
        <f aca="false">SUM(H41:H44)</f>
        <v>200</v>
      </c>
      <c r="I45" s="9" t="n">
        <f aca="false">SUM(I41:I44)</f>
        <v>197</v>
      </c>
      <c r="J45" s="9" t="n">
        <f aca="false">SUM(J41:J44)</f>
        <v>9</v>
      </c>
      <c r="K45" s="9" t="n">
        <f aca="false">SUM(K41:K44)</f>
        <v>1</v>
      </c>
      <c r="L45" s="9" t="n">
        <f aca="false">SUM(L41:L44)</f>
        <v>2</v>
      </c>
      <c r="M45" s="9" t="n">
        <f aca="false">SUM(M41:M44)</f>
        <v>12</v>
      </c>
      <c r="N45" s="9" t="n">
        <f aca="false">SUM(N41:N44)</f>
        <v>1</v>
      </c>
      <c r="O45" s="9" t="n">
        <f aca="false">SUM(O41:O44)</f>
        <v>408</v>
      </c>
      <c r="P45" s="14" t="n">
        <f aca="false">IFERROR((H45+N45)/G45,0)</f>
        <v>0.476303317535545</v>
      </c>
      <c r="Q45" s="9"/>
    </row>
    <row r="46" customFormat="false" ht="15" hidden="false" customHeight="false" outlineLevel="0" collapsed="false">
      <c r="B46" s="2" t="s">
        <v>112</v>
      </c>
      <c r="G46" s="3" t="str">
        <f aca="false">IF(AND(G45=COUNTA('All Features'!$F$2:$F$423),SUM(H45:N45)=G45),"OK","MISMATCH")</f>
        <v>OK</v>
      </c>
    </row>
  </sheetData>
  <autoFilter ref="A4:R37"/>
  <conditionalFormatting sqref="R5:R37">
    <cfRule type="expression" priority="2" aboveAverage="0" equalAverage="0" bottom="0" percent="0" rank="0" text="" dxfId="8">
      <formula>LEFT($R5,9)="COMPLETED"</formula>
    </cfRule>
    <cfRule type="expression" priority="3" aboveAverage="0" equalAverage="0" bottom="0" percent="0" rank="0" text="" dxfId="9">
      <formula>LEFT($R5,5)="BUILT"</formula>
    </cfRule>
    <cfRule type="expression" priority="4" aboveAverage="0" equalAverage="0" bottom="0" percent="0" rank="0" text="" dxfId="10">
      <formula>LEFT($R5,11)="NOT STARTED"</formula>
    </cfRule>
    <cfRule type="expression" priority="5" aboveAverage="0" equalAverage="0" bottom="0" percent="0" rank="0" text="" dxfId="11">
      <formula>ISNUMBER(SEARCH("BLOCKED",$R5))</formula>
    </cfRule>
    <cfRule type="expression" priority="6" aboveAverage="0" equalAverage="0" bottom="0" percent="0" rank="0" text="" dxfId="12">
      <formula>LEFT($R5,11)="IN PROGRESS"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0"/>
    <col collapsed="false" customWidth="true" hidden="false" outlineLevel="0" max="3" min="3" style="0" width="8"/>
    <col collapsed="false" customWidth="true" hidden="false" outlineLevel="0" max="4" min="4" style="0" width="34"/>
    <col collapsed="false" customWidth="true" hidden="false" outlineLevel="0" max="5" min="5" style="0" width="18"/>
    <col collapsed="false" customWidth="true" hidden="false" outlineLevel="0" max="6" min="6" style="0" width="12"/>
    <col collapsed="false" customWidth="true" hidden="false" outlineLevel="0" max="7" min="7" style="0" width="42"/>
    <col collapsed="false" customWidth="true" hidden="false" outlineLevel="0" max="8" min="8" style="0" width="56"/>
    <col collapsed="false" customWidth="true" hidden="false" outlineLevel="0" max="9" min="9" style="0" width="22"/>
    <col collapsed="false" customWidth="true" hidden="false" outlineLevel="0" max="10" min="10" style="0" width="11"/>
    <col collapsed="false" customWidth="true" hidden="false" outlineLevel="0" max="11" min="11" style="0" width="22"/>
    <col collapsed="false" customWidth="true" hidden="false" outlineLevel="0" max="12" min="12" style="0" width="12"/>
    <col collapsed="false" customWidth="true" hidden="false" outlineLevel="0" max="14" min="13" style="0" width="20"/>
    <col collapsed="false" customWidth="true" hidden="false" outlineLevel="0" max="15" min="15" style="0" width="22"/>
    <col collapsed="false" customWidth="true" hidden="false" outlineLevel="0" max="16" min="16" style="0" width="26"/>
    <col collapsed="false" customWidth="true" hidden="false" outlineLevel="0" max="17" min="17" style="0" width="11"/>
    <col collapsed="false" customWidth="true" hidden="false" outlineLevel="0" max="18" min="18" style="0" width="44"/>
    <col collapsed="false" customWidth="true" hidden="false" outlineLevel="0" max="19" min="19" style="0" width="36"/>
  </cols>
  <sheetData>
    <row r="1" customFormat="false" ht="30" hidden="false" customHeight="true" outlineLevel="0" collapsed="false">
      <c r="A1" s="4" t="s">
        <v>3</v>
      </c>
      <c r="B1" s="4" t="s">
        <v>62</v>
      </c>
      <c r="C1" s="4" t="s">
        <v>63</v>
      </c>
      <c r="D1" s="4" t="s">
        <v>64</v>
      </c>
      <c r="E1" s="4" t="s">
        <v>113</v>
      </c>
      <c r="F1" s="4" t="s">
        <v>114</v>
      </c>
      <c r="G1" s="4" t="s">
        <v>115</v>
      </c>
      <c r="H1" s="4" t="s">
        <v>116</v>
      </c>
      <c r="I1" s="4" t="s">
        <v>117</v>
      </c>
      <c r="J1" s="4" t="s">
        <v>7</v>
      </c>
      <c r="K1" s="4" t="s">
        <v>118</v>
      </c>
      <c r="L1" s="4" t="s">
        <v>119</v>
      </c>
      <c r="M1" s="4" t="s">
        <v>120</v>
      </c>
      <c r="N1" s="4" t="s">
        <v>121</v>
      </c>
      <c r="O1" s="4" t="s">
        <v>122</v>
      </c>
      <c r="P1" s="4" t="s">
        <v>123</v>
      </c>
      <c r="Q1" s="4" t="s">
        <v>124</v>
      </c>
      <c r="R1" s="4" t="s">
        <v>125</v>
      </c>
      <c r="S1" s="4" t="s">
        <v>126</v>
      </c>
    </row>
    <row r="2" customFormat="false" ht="15" hidden="false" customHeight="false" outlineLevel="0" collapsed="false">
      <c r="A2" s="5" t="s">
        <v>10</v>
      </c>
      <c r="B2" s="5" t="s">
        <v>72</v>
      </c>
      <c r="C2" s="5" t="n">
        <v>0</v>
      </c>
      <c r="D2" s="6" t="s">
        <v>73</v>
      </c>
      <c r="E2" s="5" t="s">
        <v>127</v>
      </c>
      <c r="F2" s="5" t="s">
        <v>128</v>
      </c>
      <c r="G2" s="6" t="s">
        <v>129</v>
      </c>
      <c r="H2" s="6" t="s">
        <v>130</v>
      </c>
      <c r="I2" s="5" t="s">
        <v>131</v>
      </c>
      <c r="J2" s="11" t="n">
        <v>46289</v>
      </c>
      <c r="K2" s="5" t="s">
        <v>12</v>
      </c>
      <c r="L2" s="15" t="s">
        <v>132</v>
      </c>
      <c r="M2" s="5" t="s">
        <v>133</v>
      </c>
      <c r="N2" s="5" t="s">
        <v>134</v>
      </c>
      <c r="O2" s="15" t="s">
        <v>135</v>
      </c>
      <c r="P2" s="5" t="s">
        <v>136</v>
      </c>
      <c r="Q2" s="12" t="n">
        <v>0.9</v>
      </c>
      <c r="R2" s="6" t="s">
        <v>137</v>
      </c>
      <c r="S2" s="7" t="s">
        <v>138</v>
      </c>
    </row>
    <row r="3" customFormat="false" ht="15" hidden="false" customHeight="false" outlineLevel="0" collapsed="false">
      <c r="A3" s="5" t="s">
        <v>10</v>
      </c>
      <c r="B3" s="5" t="s">
        <v>72</v>
      </c>
      <c r="C3" s="5" t="n">
        <v>0</v>
      </c>
      <c r="D3" s="6" t="s">
        <v>73</v>
      </c>
      <c r="E3" s="5" t="s">
        <v>127</v>
      </c>
      <c r="F3" s="5" t="s">
        <v>139</v>
      </c>
      <c r="G3" s="6" t="s">
        <v>140</v>
      </c>
      <c r="H3" s="6" t="s">
        <v>141</v>
      </c>
      <c r="I3" s="5" t="s">
        <v>131</v>
      </c>
      <c r="J3" s="11" t="n">
        <v>46289</v>
      </c>
      <c r="K3" s="5" t="s">
        <v>12</v>
      </c>
      <c r="L3" s="15" t="s">
        <v>132</v>
      </c>
      <c r="M3" s="5" t="s">
        <v>133</v>
      </c>
      <c r="N3" s="5" t="s">
        <v>134</v>
      </c>
      <c r="O3" s="15" t="s">
        <v>135</v>
      </c>
      <c r="P3" s="5" t="s">
        <v>135</v>
      </c>
      <c r="Q3" s="12" t="n">
        <v>0.9</v>
      </c>
      <c r="R3" s="6" t="s">
        <v>137</v>
      </c>
      <c r="S3" s="7" t="s">
        <v>138</v>
      </c>
    </row>
    <row r="4" customFormat="false" ht="15" hidden="false" customHeight="false" outlineLevel="0" collapsed="false">
      <c r="A4" s="5" t="s">
        <v>10</v>
      </c>
      <c r="B4" s="5" t="s">
        <v>72</v>
      </c>
      <c r="C4" s="5" t="n">
        <v>0</v>
      </c>
      <c r="D4" s="6" t="s">
        <v>73</v>
      </c>
      <c r="E4" s="5" t="s">
        <v>127</v>
      </c>
      <c r="F4" s="5" t="s">
        <v>142</v>
      </c>
      <c r="G4" s="6" t="s">
        <v>143</v>
      </c>
      <c r="H4" s="6" t="s">
        <v>144</v>
      </c>
      <c r="I4" s="5" t="s">
        <v>131</v>
      </c>
      <c r="J4" s="11" t="n">
        <v>46289</v>
      </c>
      <c r="K4" s="5" t="s">
        <v>12</v>
      </c>
      <c r="L4" s="15" t="s">
        <v>132</v>
      </c>
      <c r="M4" s="5" t="s">
        <v>133</v>
      </c>
      <c r="N4" s="5" t="s">
        <v>134</v>
      </c>
      <c r="O4" s="15" t="s">
        <v>135</v>
      </c>
      <c r="P4" s="5" t="s">
        <v>135</v>
      </c>
      <c r="Q4" s="12" t="n">
        <v>0.9</v>
      </c>
      <c r="R4" s="6" t="s">
        <v>145</v>
      </c>
      <c r="S4" s="7" t="s">
        <v>138</v>
      </c>
    </row>
    <row r="5" customFormat="false" ht="15" hidden="false" customHeight="false" outlineLevel="0" collapsed="false">
      <c r="A5" s="5" t="s">
        <v>10</v>
      </c>
      <c r="B5" s="5" t="s">
        <v>72</v>
      </c>
      <c r="C5" s="5" t="n">
        <v>0</v>
      </c>
      <c r="D5" s="6" t="s">
        <v>73</v>
      </c>
      <c r="E5" s="5" t="s">
        <v>146</v>
      </c>
      <c r="F5" s="5" t="s">
        <v>147</v>
      </c>
      <c r="G5" s="6" t="s">
        <v>148</v>
      </c>
      <c r="H5" s="6" t="s">
        <v>149</v>
      </c>
      <c r="I5" s="5" t="s">
        <v>150</v>
      </c>
      <c r="J5" s="11" t="n">
        <v>46289</v>
      </c>
      <c r="K5" s="5" t="s">
        <v>12</v>
      </c>
      <c r="L5" s="15" t="s">
        <v>132</v>
      </c>
      <c r="M5" s="5" t="s">
        <v>133</v>
      </c>
      <c r="N5" s="5" t="s">
        <v>134</v>
      </c>
      <c r="O5" s="15" t="s">
        <v>135</v>
      </c>
      <c r="P5" s="5" t="s">
        <v>135</v>
      </c>
      <c r="Q5" s="12" t="n">
        <v>0.9</v>
      </c>
      <c r="R5" s="6" t="s">
        <v>137</v>
      </c>
      <c r="S5" s="7" t="s">
        <v>138</v>
      </c>
    </row>
    <row r="6" customFormat="false" ht="15" hidden="false" customHeight="false" outlineLevel="0" collapsed="false">
      <c r="A6" s="5" t="s">
        <v>10</v>
      </c>
      <c r="B6" s="5" t="s">
        <v>72</v>
      </c>
      <c r="C6" s="5" t="n">
        <v>0</v>
      </c>
      <c r="D6" s="6" t="s">
        <v>73</v>
      </c>
      <c r="E6" s="5" t="s">
        <v>146</v>
      </c>
      <c r="F6" s="5" t="s">
        <v>151</v>
      </c>
      <c r="G6" s="6" t="s">
        <v>152</v>
      </c>
      <c r="H6" s="6" t="s">
        <v>153</v>
      </c>
      <c r="I6" s="5" t="s">
        <v>150</v>
      </c>
      <c r="J6" s="11" t="n">
        <v>46289</v>
      </c>
      <c r="K6" s="5" t="s">
        <v>12</v>
      </c>
      <c r="L6" s="15" t="s">
        <v>132</v>
      </c>
      <c r="M6" s="5" t="s">
        <v>133</v>
      </c>
      <c r="N6" s="5" t="s">
        <v>134</v>
      </c>
      <c r="O6" s="15" t="s">
        <v>135</v>
      </c>
      <c r="P6" s="5" t="s">
        <v>135</v>
      </c>
      <c r="Q6" s="12" t="n">
        <v>0.8</v>
      </c>
      <c r="R6" s="6" t="s">
        <v>137</v>
      </c>
      <c r="S6" s="7" t="s">
        <v>138</v>
      </c>
    </row>
    <row r="7" customFormat="false" ht="35.05" hidden="false" customHeight="false" outlineLevel="0" collapsed="false">
      <c r="A7" s="5" t="s">
        <v>10</v>
      </c>
      <c r="B7" s="5" t="s">
        <v>72</v>
      </c>
      <c r="C7" s="5" t="n">
        <v>0</v>
      </c>
      <c r="D7" s="6" t="s">
        <v>73</v>
      </c>
      <c r="E7" s="5" t="s">
        <v>146</v>
      </c>
      <c r="F7" s="5" t="s">
        <v>154</v>
      </c>
      <c r="G7" s="6" t="s">
        <v>155</v>
      </c>
      <c r="H7" s="6" t="s">
        <v>156</v>
      </c>
      <c r="I7" s="5" t="s">
        <v>150</v>
      </c>
      <c r="J7" s="11" t="n">
        <v>46302</v>
      </c>
      <c r="K7" s="5" t="s">
        <v>12</v>
      </c>
      <c r="L7" s="15" t="s">
        <v>132</v>
      </c>
      <c r="M7" s="5" t="s">
        <v>133</v>
      </c>
      <c r="N7" s="5" t="s">
        <v>134</v>
      </c>
      <c r="O7" s="15" t="s">
        <v>135</v>
      </c>
      <c r="P7" s="5" t="s">
        <v>135</v>
      </c>
      <c r="Q7" s="12" t="n">
        <v>0.8</v>
      </c>
      <c r="R7" s="6" t="s">
        <v>157</v>
      </c>
      <c r="S7" s="7" t="s">
        <v>138</v>
      </c>
    </row>
    <row r="8" customFormat="false" ht="15" hidden="false" customHeight="false" outlineLevel="0" collapsed="false">
      <c r="A8" s="5" t="s">
        <v>10</v>
      </c>
      <c r="B8" s="5" t="s">
        <v>72</v>
      </c>
      <c r="C8" s="5" t="n">
        <v>0</v>
      </c>
      <c r="D8" s="6" t="s">
        <v>73</v>
      </c>
      <c r="E8" s="5" t="s">
        <v>146</v>
      </c>
      <c r="F8" s="5" t="s">
        <v>158</v>
      </c>
      <c r="G8" s="6" t="s">
        <v>159</v>
      </c>
      <c r="H8" s="6" t="s">
        <v>153</v>
      </c>
      <c r="I8" s="5" t="s">
        <v>150</v>
      </c>
      <c r="J8" s="11" t="n">
        <v>46289</v>
      </c>
      <c r="K8" s="5" t="s">
        <v>12</v>
      </c>
      <c r="L8" s="15" t="s">
        <v>132</v>
      </c>
      <c r="M8" s="5" t="s">
        <v>133</v>
      </c>
      <c r="N8" s="5" t="s">
        <v>134</v>
      </c>
      <c r="O8" s="15" t="s">
        <v>135</v>
      </c>
      <c r="P8" s="5" t="s">
        <v>135</v>
      </c>
      <c r="Q8" s="12" t="n">
        <v>0.8</v>
      </c>
      <c r="R8" s="6" t="s">
        <v>137</v>
      </c>
      <c r="S8" s="7" t="s">
        <v>138</v>
      </c>
    </row>
    <row r="9" customFormat="false" ht="57.45" hidden="false" customHeight="false" outlineLevel="0" collapsed="false">
      <c r="A9" s="5" t="s">
        <v>10</v>
      </c>
      <c r="B9" s="5" t="s">
        <v>72</v>
      </c>
      <c r="C9" s="5" t="n">
        <v>0</v>
      </c>
      <c r="D9" s="6" t="s">
        <v>73</v>
      </c>
      <c r="E9" s="5" t="s">
        <v>146</v>
      </c>
      <c r="F9" s="5" t="s">
        <v>160</v>
      </c>
      <c r="G9" s="6" t="s">
        <v>161</v>
      </c>
      <c r="H9" s="6" t="s">
        <v>162</v>
      </c>
      <c r="I9" s="5" t="s">
        <v>150</v>
      </c>
      <c r="J9" s="11" t="n">
        <v>46302</v>
      </c>
      <c r="K9" s="5" t="s">
        <v>12</v>
      </c>
      <c r="L9" s="15" t="s">
        <v>132</v>
      </c>
      <c r="M9" s="5" t="s">
        <v>133</v>
      </c>
      <c r="N9" s="5" t="s">
        <v>134</v>
      </c>
      <c r="O9" s="15" t="s">
        <v>135</v>
      </c>
      <c r="P9" s="5" t="s">
        <v>135</v>
      </c>
      <c r="Q9" s="12" t="n">
        <v>0.8</v>
      </c>
      <c r="R9" s="6" t="s">
        <v>163</v>
      </c>
      <c r="S9" s="7" t="s">
        <v>138</v>
      </c>
    </row>
    <row r="10" customFormat="false" ht="15" hidden="false" customHeight="false" outlineLevel="0" collapsed="false">
      <c r="A10" s="5" t="s">
        <v>10</v>
      </c>
      <c r="B10" s="5" t="s">
        <v>72</v>
      </c>
      <c r="C10" s="5" t="n">
        <v>0</v>
      </c>
      <c r="D10" s="6" t="s">
        <v>73</v>
      </c>
      <c r="E10" s="5" t="s">
        <v>164</v>
      </c>
      <c r="F10" s="5" t="s">
        <v>165</v>
      </c>
      <c r="G10" s="6" t="s">
        <v>166</v>
      </c>
      <c r="H10" s="6" t="s">
        <v>167</v>
      </c>
      <c r="I10" s="5" t="s">
        <v>168</v>
      </c>
      <c r="J10" s="11" t="n">
        <v>46289</v>
      </c>
      <c r="K10" s="5" t="s">
        <v>12</v>
      </c>
      <c r="L10" s="15" t="s">
        <v>132</v>
      </c>
      <c r="M10" s="5" t="s">
        <v>133</v>
      </c>
      <c r="N10" s="5" t="s">
        <v>134</v>
      </c>
      <c r="O10" s="15" t="s">
        <v>135</v>
      </c>
      <c r="P10" s="5" t="s">
        <v>135</v>
      </c>
      <c r="Q10" s="12" t="n">
        <v>0.75</v>
      </c>
      <c r="R10" s="6" t="s">
        <v>169</v>
      </c>
      <c r="S10" s="7" t="s">
        <v>138</v>
      </c>
    </row>
    <row r="11" customFormat="false" ht="15" hidden="false" customHeight="false" outlineLevel="0" collapsed="false">
      <c r="A11" s="5" t="s">
        <v>10</v>
      </c>
      <c r="B11" s="5" t="s">
        <v>72</v>
      </c>
      <c r="C11" s="5" t="n">
        <v>0</v>
      </c>
      <c r="D11" s="6" t="s">
        <v>73</v>
      </c>
      <c r="E11" s="5" t="s">
        <v>164</v>
      </c>
      <c r="F11" s="5" t="s">
        <v>170</v>
      </c>
      <c r="G11" s="6" t="s">
        <v>171</v>
      </c>
      <c r="H11" s="6" t="s">
        <v>172</v>
      </c>
      <c r="I11" s="5" t="s">
        <v>168</v>
      </c>
      <c r="J11" s="11" t="n">
        <v>46289</v>
      </c>
      <c r="K11" s="5" t="s">
        <v>12</v>
      </c>
      <c r="L11" s="15" t="s">
        <v>132</v>
      </c>
      <c r="M11" s="5" t="s">
        <v>133</v>
      </c>
      <c r="N11" s="5" t="s">
        <v>134</v>
      </c>
      <c r="O11" s="15" t="s">
        <v>135</v>
      </c>
      <c r="P11" s="5" t="s">
        <v>135</v>
      </c>
      <c r="Q11" s="12" t="n">
        <v>0.85</v>
      </c>
      <c r="R11" s="6" t="s">
        <v>137</v>
      </c>
      <c r="S11" s="7" t="s">
        <v>138</v>
      </c>
    </row>
    <row r="12" customFormat="false" ht="15" hidden="false" customHeight="false" outlineLevel="0" collapsed="false">
      <c r="A12" s="5" t="s">
        <v>10</v>
      </c>
      <c r="B12" s="5" t="s">
        <v>72</v>
      </c>
      <c r="C12" s="5" t="n">
        <v>0</v>
      </c>
      <c r="D12" s="6" t="s">
        <v>73</v>
      </c>
      <c r="E12" s="5" t="s">
        <v>164</v>
      </c>
      <c r="F12" s="5" t="s">
        <v>173</v>
      </c>
      <c r="G12" s="6" t="s">
        <v>174</v>
      </c>
      <c r="H12" s="6" t="s">
        <v>175</v>
      </c>
      <c r="I12" s="5" t="s">
        <v>168</v>
      </c>
      <c r="J12" s="11" t="n">
        <v>46289</v>
      </c>
      <c r="K12" s="5" t="s">
        <v>12</v>
      </c>
      <c r="L12" s="15" t="s">
        <v>132</v>
      </c>
      <c r="M12" s="5" t="s">
        <v>133</v>
      </c>
      <c r="N12" s="5" t="s">
        <v>134</v>
      </c>
      <c r="O12" s="15" t="s">
        <v>135</v>
      </c>
      <c r="P12" s="5" t="s">
        <v>135</v>
      </c>
      <c r="Q12" s="12" t="n">
        <v>0.8</v>
      </c>
      <c r="R12" s="6" t="s">
        <v>137</v>
      </c>
      <c r="S12" s="7" t="s">
        <v>138</v>
      </c>
    </row>
    <row r="13" customFormat="false" ht="23.85" hidden="false" customHeight="false" outlineLevel="0" collapsed="false">
      <c r="A13" s="5" t="s">
        <v>10</v>
      </c>
      <c r="B13" s="5" t="s">
        <v>72</v>
      </c>
      <c r="C13" s="5" t="n">
        <v>0</v>
      </c>
      <c r="D13" s="6" t="s">
        <v>73</v>
      </c>
      <c r="E13" s="5" t="s">
        <v>164</v>
      </c>
      <c r="F13" s="5" t="s">
        <v>176</v>
      </c>
      <c r="G13" s="6" t="s">
        <v>177</v>
      </c>
      <c r="H13" s="6" t="s">
        <v>167</v>
      </c>
      <c r="I13" s="5" t="s">
        <v>168</v>
      </c>
      <c r="J13" s="11" t="n">
        <v>46289</v>
      </c>
      <c r="K13" s="5" t="s">
        <v>12</v>
      </c>
      <c r="L13" s="15" t="s">
        <v>132</v>
      </c>
      <c r="M13" s="5" t="s">
        <v>133</v>
      </c>
      <c r="N13" s="5" t="s">
        <v>134</v>
      </c>
      <c r="O13" s="15" t="s">
        <v>135</v>
      </c>
      <c r="P13" s="5" t="s">
        <v>136</v>
      </c>
      <c r="Q13" s="12" t="n">
        <v>0.75</v>
      </c>
      <c r="R13" s="6" t="s">
        <v>178</v>
      </c>
      <c r="S13" s="7" t="s">
        <v>138</v>
      </c>
    </row>
    <row r="14" customFormat="false" ht="15" hidden="false" customHeight="false" outlineLevel="0" collapsed="false">
      <c r="A14" s="5" t="s">
        <v>10</v>
      </c>
      <c r="B14" s="5" t="s">
        <v>72</v>
      </c>
      <c r="C14" s="5" t="n">
        <v>0</v>
      </c>
      <c r="D14" s="6" t="s">
        <v>73</v>
      </c>
      <c r="E14" s="5" t="s">
        <v>179</v>
      </c>
      <c r="F14" s="5" t="s">
        <v>180</v>
      </c>
      <c r="G14" s="6" t="s">
        <v>181</v>
      </c>
      <c r="H14" s="6" t="s">
        <v>182</v>
      </c>
      <c r="I14" s="5" t="s">
        <v>183</v>
      </c>
      <c r="J14" s="11" t="n">
        <v>46289</v>
      </c>
      <c r="K14" s="5" t="s">
        <v>12</v>
      </c>
      <c r="L14" s="15" t="s">
        <v>132</v>
      </c>
      <c r="M14" s="5" t="s">
        <v>133</v>
      </c>
      <c r="N14" s="5" t="s">
        <v>134</v>
      </c>
      <c r="O14" s="15" t="s">
        <v>135</v>
      </c>
      <c r="P14" s="5" t="s">
        <v>136</v>
      </c>
      <c r="Q14" s="12" t="n">
        <v>0.75</v>
      </c>
      <c r="R14" s="6" t="s">
        <v>137</v>
      </c>
      <c r="S14" s="7" t="s">
        <v>138</v>
      </c>
    </row>
    <row r="15" customFormat="false" ht="15" hidden="false" customHeight="false" outlineLevel="0" collapsed="false">
      <c r="A15" s="5" t="s">
        <v>10</v>
      </c>
      <c r="B15" s="5" t="s">
        <v>72</v>
      </c>
      <c r="C15" s="5" t="n">
        <v>0</v>
      </c>
      <c r="D15" s="6" t="s">
        <v>73</v>
      </c>
      <c r="E15" s="5" t="s">
        <v>164</v>
      </c>
      <c r="F15" s="5" t="s">
        <v>184</v>
      </c>
      <c r="G15" s="6" t="s">
        <v>185</v>
      </c>
      <c r="H15" s="6" t="s">
        <v>186</v>
      </c>
      <c r="I15" s="5" t="s">
        <v>168</v>
      </c>
      <c r="J15" s="11" t="n">
        <v>46289</v>
      </c>
      <c r="K15" s="5" t="s">
        <v>12</v>
      </c>
      <c r="L15" s="15" t="s">
        <v>132</v>
      </c>
      <c r="M15" s="5" t="s">
        <v>133</v>
      </c>
      <c r="N15" s="5" t="s">
        <v>134</v>
      </c>
      <c r="O15" s="15" t="s">
        <v>135</v>
      </c>
      <c r="P15" s="5" t="s">
        <v>135</v>
      </c>
      <c r="Q15" s="12" t="n">
        <v>0.8</v>
      </c>
      <c r="R15" s="6" t="s">
        <v>137</v>
      </c>
      <c r="S15" s="7" t="s">
        <v>138</v>
      </c>
    </row>
    <row r="16" customFormat="false" ht="15" hidden="false" customHeight="false" outlineLevel="0" collapsed="false">
      <c r="A16" s="5" t="s">
        <v>10</v>
      </c>
      <c r="B16" s="5" t="s">
        <v>72</v>
      </c>
      <c r="C16" s="5" t="n">
        <v>0</v>
      </c>
      <c r="D16" s="6" t="s">
        <v>73</v>
      </c>
      <c r="E16" s="5" t="s">
        <v>164</v>
      </c>
      <c r="F16" s="5" t="s">
        <v>187</v>
      </c>
      <c r="G16" s="6" t="s">
        <v>188</v>
      </c>
      <c r="H16" s="6" t="s">
        <v>189</v>
      </c>
      <c r="I16" s="5" t="s">
        <v>168</v>
      </c>
      <c r="J16" s="11" t="n">
        <v>46289</v>
      </c>
      <c r="K16" s="5" t="s">
        <v>12</v>
      </c>
      <c r="L16" s="15" t="s">
        <v>132</v>
      </c>
      <c r="M16" s="5" t="s">
        <v>133</v>
      </c>
      <c r="N16" s="5" t="s">
        <v>134</v>
      </c>
      <c r="O16" s="15" t="s">
        <v>135</v>
      </c>
      <c r="P16" s="5" t="s">
        <v>135</v>
      </c>
      <c r="Q16" s="12" t="n">
        <v>0.8</v>
      </c>
      <c r="R16" s="6" t="s">
        <v>137</v>
      </c>
      <c r="S16" s="7" t="s">
        <v>138</v>
      </c>
    </row>
    <row r="17" customFormat="false" ht="15" hidden="false" customHeight="false" outlineLevel="0" collapsed="false">
      <c r="A17" s="5" t="s">
        <v>10</v>
      </c>
      <c r="B17" s="5" t="s">
        <v>72</v>
      </c>
      <c r="C17" s="5" t="n">
        <v>0</v>
      </c>
      <c r="D17" s="6" t="s">
        <v>73</v>
      </c>
      <c r="E17" s="5" t="s">
        <v>164</v>
      </c>
      <c r="F17" s="5" t="s">
        <v>190</v>
      </c>
      <c r="G17" s="6" t="s">
        <v>191</v>
      </c>
      <c r="H17" s="6" t="s">
        <v>192</v>
      </c>
      <c r="I17" s="5" t="s">
        <v>168</v>
      </c>
      <c r="J17" s="11" t="n">
        <v>46289</v>
      </c>
      <c r="K17" s="5" t="s">
        <v>12</v>
      </c>
      <c r="L17" s="15" t="s">
        <v>132</v>
      </c>
      <c r="M17" s="5" t="s">
        <v>133</v>
      </c>
      <c r="N17" s="5" t="s">
        <v>134</v>
      </c>
      <c r="O17" s="15" t="s">
        <v>135</v>
      </c>
      <c r="P17" s="5" t="s">
        <v>135</v>
      </c>
      <c r="Q17" s="12" t="n">
        <v>0.8</v>
      </c>
      <c r="R17" s="6" t="s">
        <v>193</v>
      </c>
      <c r="S17" s="7" t="s">
        <v>138</v>
      </c>
    </row>
    <row r="18" customFormat="false" ht="15" hidden="false" customHeight="false" outlineLevel="0" collapsed="false">
      <c r="A18" s="5" t="s">
        <v>10</v>
      </c>
      <c r="B18" s="5" t="s">
        <v>72</v>
      </c>
      <c r="C18" s="5" t="n">
        <v>0</v>
      </c>
      <c r="D18" s="6" t="s">
        <v>73</v>
      </c>
      <c r="E18" s="5" t="s">
        <v>194</v>
      </c>
      <c r="F18" s="5" t="s">
        <v>195</v>
      </c>
      <c r="G18" s="6" t="s">
        <v>196</v>
      </c>
      <c r="H18" s="6" t="s">
        <v>197</v>
      </c>
      <c r="I18" s="5" t="s">
        <v>198</v>
      </c>
      <c r="J18" s="11" t="n">
        <v>46289</v>
      </c>
      <c r="K18" s="5" t="s">
        <v>12</v>
      </c>
      <c r="L18" s="15" t="s">
        <v>132</v>
      </c>
      <c r="M18" s="5" t="s">
        <v>133</v>
      </c>
      <c r="N18" s="5" t="s">
        <v>134</v>
      </c>
      <c r="O18" s="15" t="s">
        <v>135</v>
      </c>
      <c r="P18" s="5" t="s">
        <v>136</v>
      </c>
      <c r="Q18" s="12" t="n">
        <v>0.75</v>
      </c>
      <c r="R18" s="6" t="s">
        <v>137</v>
      </c>
      <c r="S18" s="7" t="s">
        <v>138</v>
      </c>
    </row>
    <row r="19" customFormat="false" ht="15" hidden="false" customHeight="false" outlineLevel="0" collapsed="false">
      <c r="A19" s="5" t="s">
        <v>10</v>
      </c>
      <c r="B19" s="5" t="s">
        <v>72</v>
      </c>
      <c r="C19" s="5" t="n">
        <v>0</v>
      </c>
      <c r="D19" s="6" t="s">
        <v>73</v>
      </c>
      <c r="E19" s="5" t="s">
        <v>194</v>
      </c>
      <c r="F19" s="5" t="s">
        <v>199</v>
      </c>
      <c r="G19" s="6" t="s">
        <v>200</v>
      </c>
      <c r="H19" s="6" t="s">
        <v>167</v>
      </c>
      <c r="I19" s="5" t="s">
        <v>198</v>
      </c>
      <c r="J19" s="11" t="n">
        <v>46289</v>
      </c>
      <c r="K19" s="5" t="s">
        <v>12</v>
      </c>
      <c r="L19" s="15" t="s">
        <v>132</v>
      </c>
      <c r="M19" s="5" t="s">
        <v>133</v>
      </c>
      <c r="N19" s="5" t="s">
        <v>134</v>
      </c>
      <c r="O19" s="15" t="s">
        <v>135</v>
      </c>
      <c r="P19" s="5" t="s">
        <v>135</v>
      </c>
      <c r="Q19" s="12" t="n">
        <v>0.85</v>
      </c>
      <c r="R19" s="6" t="s">
        <v>137</v>
      </c>
      <c r="S19" s="7" t="s">
        <v>138</v>
      </c>
    </row>
    <row r="20" customFormat="false" ht="15" hidden="false" customHeight="false" outlineLevel="0" collapsed="false">
      <c r="A20" s="5" t="s">
        <v>10</v>
      </c>
      <c r="B20" s="5" t="s">
        <v>72</v>
      </c>
      <c r="C20" s="5" t="n">
        <v>0</v>
      </c>
      <c r="D20" s="6" t="s">
        <v>73</v>
      </c>
      <c r="E20" s="5" t="s">
        <v>194</v>
      </c>
      <c r="F20" s="5" t="s">
        <v>201</v>
      </c>
      <c r="G20" s="6" t="s">
        <v>202</v>
      </c>
      <c r="H20" s="6" t="s">
        <v>167</v>
      </c>
      <c r="I20" s="5" t="s">
        <v>198</v>
      </c>
      <c r="J20" s="11" t="n">
        <v>46289</v>
      </c>
      <c r="K20" s="5" t="s">
        <v>12</v>
      </c>
      <c r="L20" s="15" t="s">
        <v>132</v>
      </c>
      <c r="M20" s="5" t="s">
        <v>133</v>
      </c>
      <c r="N20" s="5" t="s">
        <v>134</v>
      </c>
      <c r="O20" s="15" t="s">
        <v>135</v>
      </c>
      <c r="P20" s="5" t="s">
        <v>135</v>
      </c>
      <c r="Q20" s="12" t="n">
        <v>0.75</v>
      </c>
      <c r="R20" s="6" t="s">
        <v>137</v>
      </c>
      <c r="S20" s="7" t="s">
        <v>138</v>
      </c>
    </row>
    <row r="21" customFormat="false" ht="15" hidden="false" customHeight="false" outlineLevel="0" collapsed="false">
      <c r="A21" s="5" t="s">
        <v>10</v>
      </c>
      <c r="B21" s="5" t="s">
        <v>72</v>
      </c>
      <c r="C21" s="5" t="n">
        <v>0</v>
      </c>
      <c r="D21" s="6" t="s">
        <v>73</v>
      </c>
      <c r="E21" s="5" t="s">
        <v>194</v>
      </c>
      <c r="F21" s="5" t="s">
        <v>203</v>
      </c>
      <c r="G21" s="6" t="s">
        <v>204</v>
      </c>
      <c r="H21" s="6" t="s">
        <v>205</v>
      </c>
      <c r="I21" s="5" t="s">
        <v>198</v>
      </c>
      <c r="J21" s="11" t="n">
        <v>46289</v>
      </c>
      <c r="K21" s="5" t="s">
        <v>12</v>
      </c>
      <c r="L21" s="15" t="s">
        <v>132</v>
      </c>
      <c r="M21" s="5" t="s">
        <v>133</v>
      </c>
      <c r="N21" s="5" t="s">
        <v>134</v>
      </c>
      <c r="O21" s="15" t="s">
        <v>135</v>
      </c>
      <c r="P21" s="5" t="s">
        <v>135</v>
      </c>
      <c r="Q21" s="12" t="n">
        <v>0.8</v>
      </c>
      <c r="R21" s="6" t="s">
        <v>137</v>
      </c>
      <c r="S21" s="7" t="s">
        <v>138</v>
      </c>
    </row>
    <row r="22" customFormat="false" ht="15" hidden="false" customHeight="false" outlineLevel="0" collapsed="false">
      <c r="A22" s="5" t="s">
        <v>10</v>
      </c>
      <c r="B22" s="5" t="s">
        <v>72</v>
      </c>
      <c r="C22" s="5" t="n">
        <v>0</v>
      </c>
      <c r="D22" s="6" t="s">
        <v>73</v>
      </c>
      <c r="E22" s="5" t="s">
        <v>194</v>
      </c>
      <c r="F22" s="5" t="s">
        <v>206</v>
      </c>
      <c r="G22" s="6" t="s">
        <v>207</v>
      </c>
      <c r="H22" s="6" t="s">
        <v>208</v>
      </c>
      <c r="I22" s="5" t="s">
        <v>198</v>
      </c>
      <c r="J22" s="11" t="n">
        <v>46289</v>
      </c>
      <c r="K22" s="5" t="s">
        <v>12</v>
      </c>
      <c r="L22" s="15" t="s">
        <v>132</v>
      </c>
      <c r="M22" s="5" t="s">
        <v>133</v>
      </c>
      <c r="N22" s="5" t="s">
        <v>134</v>
      </c>
      <c r="O22" s="15" t="s">
        <v>135</v>
      </c>
      <c r="P22" s="5" t="s">
        <v>135</v>
      </c>
      <c r="Q22" s="12" t="n">
        <v>0.8</v>
      </c>
      <c r="R22" s="6" t="s">
        <v>137</v>
      </c>
      <c r="S22" s="7" t="s">
        <v>138</v>
      </c>
    </row>
    <row r="23" customFormat="false" ht="15" hidden="false" customHeight="false" outlineLevel="0" collapsed="false">
      <c r="A23" s="5" t="s">
        <v>10</v>
      </c>
      <c r="B23" s="5" t="s">
        <v>72</v>
      </c>
      <c r="C23" s="5" t="n">
        <v>0</v>
      </c>
      <c r="D23" s="6" t="s">
        <v>73</v>
      </c>
      <c r="E23" s="5" t="s">
        <v>209</v>
      </c>
      <c r="F23" s="5" t="s">
        <v>210</v>
      </c>
      <c r="G23" s="6" t="s">
        <v>211</v>
      </c>
      <c r="H23" s="6" t="s">
        <v>212</v>
      </c>
      <c r="I23" s="5" t="s">
        <v>213</v>
      </c>
      <c r="J23" s="11" t="n">
        <v>46289</v>
      </c>
      <c r="K23" s="5" t="s">
        <v>12</v>
      </c>
      <c r="L23" s="15" t="s">
        <v>132</v>
      </c>
      <c r="M23" s="5" t="s">
        <v>133</v>
      </c>
      <c r="N23" s="5" t="s">
        <v>134</v>
      </c>
      <c r="O23" s="15" t="s">
        <v>135</v>
      </c>
      <c r="P23" s="5" t="s">
        <v>136</v>
      </c>
      <c r="Q23" s="12" t="n">
        <v>0.8</v>
      </c>
      <c r="R23" s="6" t="s">
        <v>214</v>
      </c>
      <c r="S23" s="7" t="s">
        <v>138</v>
      </c>
    </row>
    <row r="24" customFormat="false" ht="15" hidden="false" customHeight="false" outlineLevel="0" collapsed="false">
      <c r="A24" s="5" t="s">
        <v>10</v>
      </c>
      <c r="B24" s="5" t="s">
        <v>72</v>
      </c>
      <c r="C24" s="5" t="n">
        <v>0</v>
      </c>
      <c r="D24" s="6" t="s">
        <v>73</v>
      </c>
      <c r="E24" s="5" t="s">
        <v>209</v>
      </c>
      <c r="F24" s="5" t="s">
        <v>215</v>
      </c>
      <c r="G24" s="6" t="s">
        <v>216</v>
      </c>
      <c r="H24" s="6" t="s">
        <v>167</v>
      </c>
      <c r="I24" s="5" t="s">
        <v>213</v>
      </c>
      <c r="J24" s="11" t="n">
        <v>46289</v>
      </c>
      <c r="K24" s="5" t="s">
        <v>12</v>
      </c>
      <c r="L24" s="15" t="s">
        <v>132</v>
      </c>
      <c r="M24" s="5" t="s">
        <v>133</v>
      </c>
      <c r="N24" s="5" t="s">
        <v>134</v>
      </c>
      <c r="O24" s="15" t="s">
        <v>135</v>
      </c>
      <c r="P24" s="5" t="s">
        <v>135</v>
      </c>
      <c r="Q24" s="12" t="n">
        <v>0.9</v>
      </c>
      <c r="R24" s="6" t="s">
        <v>137</v>
      </c>
      <c r="S24" s="7" t="s">
        <v>138</v>
      </c>
    </row>
    <row r="25" customFormat="false" ht="15" hidden="false" customHeight="false" outlineLevel="0" collapsed="false">
      <c r="A25" s="5" t="s">
        <v>10</v>
      </c>
      <c r="B25" s="5" t="s">
        <v>72</v>
      </c>
      <c r="C25" s="5" t="n">
        <v>0</v>
      </c>
      <c r="D25" s="6" t="s">
        <v>73</v>
      </c>
      <c r="E25" s="5" t="s">
        <v>217</v>
      </c>
      <c r="F25" s="5" t="s">
        <v>218</v>
      </c>
      <c r="G25" s="6" t="s">
        <v>219</v>
      </c>
      <c r="H25" s="6" t="s">
        <v>220</v>
      </c>
      <c r="I25" s="5" t="s">
        <v>221</v>
      </c>
      <c r="J25" s="11" t="n">
        <v>46289</v>
      </c>
      <c r="K25" s="5" t="s">
        <v>12</v>
      </c>
      <c r="L25" s="15" t="s">
        <v>132</v>
      </c>
      <c r="M25" s="5" t="s">
        <v>133</v>
      </c>
      <c r="N25" s="5" t="s">
        <v>134</v>
      </c>
      <c r="O25" s="15" t="s">
        <v>135</v>
      </c>
      <c r="P25" s="5" t="s">
        <v>135</v>
      </c>
      <c r="Q25" s="12" t="n">
        <v>0.9</v>
      </c>
      <c r="R25" s="6" t="s">
        <v>222</v>
      </c>
      <c r="S25" s="7" t="s">
        <v>138</v>
      </c>
    </row>
    <row r="26" customFormat="false" ht="15" hidden="false" customHeight="false" outlineLevel="0" collapsed="false">
      <c r="A26" s="5" t="s">
        <v>10</v>
      </c>
      <c r="B26" s="5" t="s">
        <v>72</v>
      </c>
      <c r="C26" s="5" t="n">
        <v>0</v>
      </c>
      <c r="D26" s="6" t="s">
        <v>73</v>
      </c>
      <c r="E26" s="5" t="s">
        <v>217</v>
      </c>
      <c r="F26" s="5" t="s">
        <v>223</v>
      </c>
      <c r="G26" s="6" t="s">
        <v>224</v>
      </c>
      <c r="H26" s="6" t="s">
        <v>220</v>
      </c>
      <c r="I26" s="5" t="s">
        <v>221</v>
      </c>
      <c r="J26" s="11" t="n">
        <v>46289</v>
      </c>
      <c r="K26" s="5" t="s">
        <v>12</v>
      </c>
      <c r="L26" s="15" t="s">
        <v>132</v>
      </c>
      <c r="M26" s="5" t="s">
        <v>133</v>
      </c>
      <c r="N26" s="5" t="s">
        <v>134</v>
      </c>
      <c r="O26" s="15" t="s">
        <v>135</v>
      </c>
      <c r="P26" s="5" t="s">
        <v>135</v>
      </c>
      <c r="Q26" s="12" t="n">
        <v>0.9</v>
      </c>
      <c r="R26" s="6" t="s">
        <v>222</v>
      </c>
      <c r="S26" s="7" t="s">
        <v>138</v>
      </c>
    </row>
    <row r="27" customFormat="false" ht="15" hidden="false" customHeight="false" outlineLevel="0" collapsed="false">
      <c r="A27" s="5" t="s">
        <v>10</v>
      </c>
      <c r="B27" s="5" t="s">
        <v>72</v>
      </c>
      <c r="C27" s="5" t="n">
        <v>0</v>
      </c>
      <c r="D27" s="6" t="s">
        <v>73</v>
      </c>
      <c r="E27" s="5" t="s">
        <v>217</v>
      </c>
      <c r="F27" s="5" t="s">
        <v>225</v>
      </c>
      <c r="G27" s="6" t="s">
        <v>226</v>
      </c>
      <c r="H27" s="6" t="s">
        <v>220</v>
      </c>
      <c r="I27" s="5" t="s">
        <v>221</v>
      </c>
      <c r="J27" s="11" t="n">
        <v>46289</v>
      </c>
      <c r="K27" s="5" t="s">
        <v>12</v>
      </c>
      <c r="L27" s="15" t="s">
        <v>132</v>
      </c>
      <c r="M27" s="5" t="s">
        <v>133</v>
      </c>
      <c r="N27" s="5" t="s">
        <v>134</v>
      </c>
      <c r="O27" s="15" t="s">
        <v>135</v>
      </c>
      <c r="P27" s="5" t="s">
        <v>135</v>
      </c>
      <c r="Q27" s="12" t="n">
        <v>0.9</v>
      </c>
      <c r="R27" s="6" t="s">
        <v>222</v>
      </c>
      <c r="S27" s="7" t="s">
        <v>138</v>
      </c>
    </row>
    <row r="28" customFormat="false" ht="15" hidden="false" customHeight="false" outlineLevel="0" collapsed="false">
      <c r="A28" s="5" t="s">
        <v>10</v>
      </c>
      <c r="B28" s="5" t="s">
        <v>72</v>
      </c>
      <c r="C28" s="5" t="n">
        <v>0</v>
      </c>
      <c r="D28" s="6" t="s">
        <v>73</v>
      </c>
      <c r="E28" s="5" t="s">
        <v>217</v>
      </c>
      <c r="F28" s="5" t="s">
        <v>227</v>
      </c>
      <c r="G28" s="6" t="s">
        <v>228</v>
      </c>
      <c r="H28" s="6" t="s">
        <v>220</v>
      </c>
      <c r="I28" s="5" t="s">
        <v>221</v>
      </c>
      <c r="J28" s="11" t="n">
        <v>46289</v>
      </c>
      <c r="K28" s="5" t="s">
        <v>12</v>
      </c>
      <c r="L28" s="15" t="s">
        <v>132</v>
      </c>
      <c r="M28" s="5" t="s">
        <v>133</v>
      </c>
      <c r="N28" s="5" t="s">
        <v>134</v>
      </c>
      <c r="O28" s="15" t="s">
        <v>135</v>
      </c>
      <c r="P28" s="5" t="s">
        <v>135</v>
      </c>
      <c r="Q28" s="12" t="n">
        <v>0.9</v>
      </c>
      <c r="R28" s="6" t="s">
        <v>222</v>
      </c>
      <c r="S28" s="7" t="s">
        <v>138</v>
      </c>
    </row>
    <row r="29" customFormat="false" ht="15" hidden="false" customHeight="false" outlineLevel="0" collapsed="false">
      <c r="A29" s="5" t="s">
        <v>10</v>
      </c>
      <c r="B29" s="5" t="s">
        <v>72</v>
      </c>
      <c r="C29" s="5" t="n">
        <v>0</v>
      </c>
      <c r="D29" s="6" t="s">
        <v>73</v>
      </c>
      <c r="E29" s="5" t="s">
        <v>217</v>
      </c>
      <c r="F29" s="5" t="s">
        <v>229</v>
      </c>
      <c r="G29" s="6" t="s">
        <v>230</v>
      </c>
      <c r="H29" s="6" t="s">
        <v>231</v>
      </c>
      <c r="I29" s="5" t="s">
        <v>221</v>
      </c>
      <c r="J29" s="11" t="n">
        <v>46289</v>
      </c>
      <c r="K29" s="5" t="s">
        <v>12</v>
      </c>
      <c r="L29" s="15" t="s">
        <v>132</v>
      </c>
      <c r="M29" s="5" t="s">
        <v>133</v>
      </c>
      <c r="N29" s="5" t="s">
        <v>134</v>
      </c>
      <c r="O29" s="15" t="s">
        <v>135</v>
      </c>
      <c r="P29" s="5" t="s">
        <v>135</v>
      </c>
      <c r="Q29" s="12" t="n">
        <v>0.75</v>
      </c>
      <c r="R29" s="6" t="s">
        <v>137</v>
      </c>
      <c r="S29" s="7" t="s">
        <v>138</v>
      </c>
    </row>
    <row r="30" customFormat="false" ht="15" hidden="false" customHeight="false" outlineLevel="0" collapsed="false">
      <c r="A30" s="5" t="s">
        <v>10</v>
      </c>
      <c r="B30" s="5" t="s">
        <v>72</v>
      </c>
      <c r="C30" s="5" t="n">
        <v>0</v>
      </c>
      <c r="D30" s="6" t="s">
        <v>73</v>
      </c>
      <c r="E30" s="5" t="s">
        <v>232</v>
      </c>
      <c r="F30" s="5" t="s">
        <v>233</v>
      </c>
      <c r="G30" s="6" t="s">
        <v>234</v>
      </c>
      <c r="H30" s="6" t="s">
        <v>235</v>
      </c>
      <c r="I30" s="5" t="s">
        <v>221</v>
      </c>
      <c r="J30" s="11" t="n">
        <v>46289</v>
      </c>
      <c r="K30" s="5" t="s">
        <v>12</v>
      </c>
      <c r="L30" s="15" t="s">
        <v>132</v>
      </c>
      <c r="M30" s="5" t="s">
        <v>133</v>
      </c>
      <c r="N30" s="5" t="s">
        <v>134</v>
      </c>
      <c r="O30" s="15" t="s">
        <v>135</v>
      </c>
      <c r="P30" s="5" t="s">
        <v>135</v>
      </c>
      <c r="Q30" s="12" t="n">
        <v>0.75</v>
      </c>
      <c r="R30" s="6" t="s">
        <v>137</v>
      </c>
      <c r="S30" s="7" t="s">
        <v>138</v>
      </c>
    </row>
    <row r="31" customFormat="false" ht="15" hidden="false" customHeight="false" outlineLevel="0" collapsed="false">
      <c r="A31" s="5" t="s">
        <v>10</v>
      </c>
      <c r="B31" s="5" t="s">
        <v>72</v>
      </c>
      <c r="C31" s="5" t="n">
        <v>0</v>
      </c>
      <c r="D31" s="6" t="s">
        <v>73</v>
      </c>
      <c r="E31" s="5" t="s">
        <v>232</v>
      </c>
      <c r="F31" s="5" t="s">
        <v>236</v>
      </c>
      <c r="G31" s="6" t="s">
        <v>237</v>
      </c>
      <c r="H31" s="6" t="s">
        <v>238</v>
      </c>
      <c r="I31" s="5" t="s">
        <v>221</v>
      </c>
      <c r="J31" s="11" t="n">
        <v>46289</v>
      </c>
      <c r="K31" s="5" t="s">
        <v>12</v>
      </c>
      <c r="L31" s="15" t="s">
        <v>132</v>
      </c>
      <c r="M31" s="5" t="s">
        <v>133</v>
      </c>
      <c r="N31" s="5" t="s">
        <v>134</v>
      </c>
      <c r="O31" s="15" t="s">
        <v>135</v>
      </c>
      <c r="P31" s="5" t="s">
        <v>135</v>
      </c>
      <c r="Q31" s="12" t="n">
        <v>0.7</v>
      </c>
      <c r="R31" s="6" t="s">
        <v>137</v>
      </c>
      <c r="S31" s="7" t="s">
        <v>138</v>
      </c>
    </row>
    <row r="32" customFormat="false" ht="15" hidden="false" customHeight="false" outlineLevel="0" collapsed="false">
      <c r="A32" s="5" t="s">
        <v>10</v>
      </c>
      <c r="B32" s="5" t="s">
        <v>72</v>
      </c>
      <c r="C32" s="5" t="n">
        <v>0</v>
      </c>
      <c r="D32" s="6" t="s">
        <v>73</v>
      </c>
      <c r="E32" s="5" t="s">
        <v>232</v>
      </c>
      <c r="F32" s="5" t="s">
        <v>239</v>
      </c>
      <c r="G32" s="6" t="s">
        <v>240</v>
      </c>
      <c r="H32" s="6" t="s">
        <v>167</v>
      </c>
      <c r="I32" s="5" t="s">
        <v>221</v>
      </c>
      <c r="J32" s="11" t="n">
        <v>46289</v>
      </c>
      <c r="K32" s="5" t="s">
        <v>12</v>
      </c>
      <c r="L32" s="15" t="s">
        <v>132</v>
      </c>
      <c r="M32" s="5" t="s">
        <v>133</v>
      </c>
      <c r="N32" s="5" t="s">
        <v>134</v>
      </c>
      <c r="O32" s="15" t="s">
        <v>135</v>
      </c>
      <c r="P32" s="5" t="s">
        <v>135</v>
      </c>
      <c r="Q32" s="12" t="n">
        <v>0.75</v>
      </c>
      <c r="R32" s="6" t="s">
        <v>137</v>
      </c>
      <c r="S32" s="7" t="s">
        <v>138</v>
      </c>
    </row>
    <row r="33" customFormat="false" ht="15" hidden="false" customHeight="false" outlineLevel="0" collapsed="false">
      <c r="A33" s="5" t="s">
        <v>10</v>
      </c>
      <c r="B33" s="5" t="s">
        <v>72</v>
      </c>
      <c r="C33" s="5" t="n">
        <v>0</v>
      </c>
      <c r="D33" s="6" t="s">
        <v>73</v>
      </c>
      <c r="E33" s="5" t="s">
        <v>232</v>
      </c>
      <c r="F33" s="5" t="s">
        <v>241</v>
      </c>
      <c r="G33" s="6" t="s">
        <v>242</v>
      </c>
      <c r="H33" s="6" t="s">
        <v>243</v>
      </c>
      <c r="I33" s="5" t="s">
        <v>221</v>
      </c>
      <c r="J33" s="11" t="n">
        <v>46289</v>
      </c>
      <c r="K33" s="5" t="s">
        <v>12</v>
      </c>
      <c r="L33" s="15" t="s">
        <v>132</v>
      </c>
      <c r="M33" s="5" t="s">
        <v>133</v>
      </c>
      <c r="N33" s="5" t="s">
        <v>134</v>
      </c>
      <c r="O33" s="15" t="s">
        <v>135</v>
      </c>
      <c r="P33" s="5" t="s">
        <v>135</v>
      </c>
      <c r="Q33" s="12" t="n">
        <v>0.8</v>
      </c>
      <c r="R33" s="6" t="s">
        <v>137</v>
      </c>
      <c r="S33" s="7" t="s">
        <v>138</v>
      </c>
    </row>
    <row r="34" customFormat="false" ht="15" hidden="false" customHeight="false" outlineLevel="0" collapsed="false">
      <c r="A34" s="5" t="s">
        <v>10</v>
      </c>
      <c r="B34" s="5" t="s">
        <v>72</v>
      </c>
      <c r="C34" s="5" t="n">
        <v>0</v>
      </c>
      <c r="D34" s="6" t="s">
        <v>73</v>
      </c>
      <c r="E34" s="5" t="s">
        <v>232</v>
      </c>
      <c r="F34" s="5" t="s">
        <v>244</v>
      </c>
      <c r="G34" s="6" t="s">
        <v>245</v>
      </c>
      <c r="H34" s="6" t="s">
        <v>246</v>
      </c>
      <c r="I34" s="5" t="s">
        <v>221</v>
      </c>
      <c r="J34" s="11" t="n">
        <v>46289</v>
      </c>
      <c r="K34" s="5" t="s">
        <v>12</v>
      </c>
      <c r="L34" s="15" t="s">
        <v>132</v>
      </c>
      <c r="M34" s="5" t="s">
        <v>133</v>
      </c>
      <c r="N34" s="5" t="s">
        <v>134</v>
      </c>
      <c r="O34" s="15" t="s">
        <v>135</v>
      </c>
      <c r="P34" s="5" t="s">
        <v>135</v>
      </c>
      <c r="Q34" s="12" t="n">
        <v>0.7</v>
      </c>
      <c r="R34" s="6" t="s">
        <v>137</v>
      </c>
      <c r="S34" s="7" t="s">
        <v>138</v>
      </c>
    </row>
    <row r="35" customFormat="false" ht="15" hidden="false" customHeight="false" outlineLevel="0" collapsed="false">
      <c r="A35" s="5" t="s">
        <v>10</v>
      </c>
      <c r="B35" s="5" t="s">
        <v>72</v>
      </c>
      <c r="C35" s="5" t="n">
        <v>0</v>
      </c>
      <c r="D35" s="6" t="s">
        <v>73</v>
      </c>
      <c r="E35" s="5" t="s">
        <v>232</v>
      </c>
      <c r="F35" s="5" t="s">
        <v>247</v>
      </c>
      <c r="G35" s="6" t="s">
        <v>248</v>
      </c>
      <c r="H35" s="6" t="s">
        <v>249</v>
      </c>
      <c r="I35" s="5" t="s">
        <v>221</v>
      </c>
      <c r="J35" s="11" t="n">
        <v>46289</v>
      </c>
      <c r="K35" s="5" t="s">
        <v>12</v>
      </c>
      <c r="L35" s="15" t="s">
        <v>132</v>
      </c>
      <c r="M35" s="5" t="s">
        <v>133</v>
      </c>
      <c r="N35" s="5" t="s">
        <v>134</v>
      </c>
      <c r="O35" s="15" t="s">
        <v>135</v>
      </c>
      <c r="P35" s="5" t="s">
        <v>135</v>
      </c>
      <c r="Q35" s="12" t="n">
        <v>0.85</v>
      </c>
      <c r="R35" s="6" t="s">
        <v>137</v>
      </c>
      <c r="S35" s="7" t="s">
        <v>138</v>
      </c>
    </row>
    <row r="36" customFormat="false" ht="15" hidden="false" customHeight="false" outlineLevel="0" collapsed="false">
      <c r="A36" s="5" t="s">
        <v>10</v>
      </c>
      <c r="B36" s="5" t="s">
        <v>72</v>
      </c>
      <c r="C36" s="5" t="n">
        <v>0</v>
      </c>
      <c r="D36" s="6" t="s">
        <v>73</v>
      </c>
      <c r="E36" s="5" t="s">
        <v>232</v>
      </c>
      <c r="F36" s="5" t="s">
        <v>250</v>
      </c>
      <c r="G36" s="6" t="s">
        <v>251</v>
      </c>
      <c r="H36" s="6" t="s">
        <v>167</v>
      </c>
      <c r="I36" s="5" t="s">
        <v>221</v>
      </c>
      <c r="J36" s="11" t="n">
        <v>46289</v>
      </c>
      <c r="K36" s="5" t="s">
        <v>12</v>
      </c>
      <c r="L36" s="15" t="s">
        <v>132</v>
      </c>
      <c r="M36" s="5" t="s">
        <v>133</v>
      </c>
      <c r="N36" s="5" t="s">
        <v>134</v>
      </c>
      <c r="O36" s="15" t="s">
        <v>135</v>
      </c>
      <c r="P36" s="5" t="s">
        <v>136</v>
      </c>
      <c r="Q36" s="12" t="n">
        <v>0.85</v>
      </c>
      <c r="R36" s="6" t="s">
        <v>137</v>
      </c>
      <c r="S36" s="7" t="s">
        <v>138</v>
      </c>
    </row>
    <row r="37" customFormat="false" ht="15" hidden="false" customHeight="false" outlineLevel="0" collapsed="false">
      <c r="A37" s="5" t="s">
        <v>10</v>
      </c>
      <c r="B37" s="5" t="s">
        <v>72</v>
      </c>
      <c r="C37" s="5" t="n">
        <v>0</v>
      </c>
      <c r="D37" s="6" t="s">
        <v>73</v>
      </c>
      <c r="E37" s="5" t="s">
        <v>252</v>
      </c>
      <c r="F37" s="5" t="s">
        <v>253</v>
      </c>
      <c r="G37" s="6" t="s">
        <v>254</v>
      </c>
      <c r="H37" s="6" t="s">
        <v>255</v>
      </c>
      <c r="I37" s="5" t="s">
        <v>221</v>
      </c>
      <c r="J37" s="11" t="n">
        <v>46289</v>
      </c>
      <c r="K37" s="5" t="s">
        <v>12</v>
      </c>
      <c r="L37" s="15" t="s">
        <v>132</v>
      </c>
      <c r="M37" s="5" t="s">
        <v>133</v>
      </c>
      <c r="N37" s="5" t="s">
        <v>134</v>
      </c>
      <c r="O37" s="15" t="s">
        <v>135</v>
      </c>
      <c r="P37" s="5" t="s">
        <v>136</v>
      </c>
      <c r="Q37" s="12" t="n">
        <v>0.8</v>
      </c>
      <c r="R37" s="6" t="s">
        <v>137</v>
      </c>
      <c r="S37" s="7" t="s">
        <v>138</v>
      </c>
    </row>
    <row r="38" customFormat="false" ht="15" hidden="false" customHeight="false" outlineLevel="0" collapsed="false">
      <c r="A38" s="5" t="s">
        <v>10</v>
      </c>
      <c r="B38" s="5" t="s">
        <v>72</v>
      </c>
      <c r="C38" s="5" t="n">
        <v>0</v>
      </c>
      <c r="D38" s="6" t="s">
        <v>73</v>
      </c>
      <c r="E38" s="5" t="s">
        <v>252</v>
      </c>
      <c r="F38" s="5" t="s">
        <v>256</v>
      </c>
      <c r="G38" s="6" t="s">
        <v>257</v>
      </c>
      <c r="H38" s="6" t="s">
        <v>258</v>
      </c>
      <c r="I38" s="5" t="s">
        <v>221</v>
      </c>
      <c r="J38" s="11" t="n">
        <v>46289</v>
      </c>
      <c r="K38" s="5" t="s">
        <v>12</v>
      </c>
      <c r="L38" s="15" t="s">
        <v>132</v>
      </c>
      <c r="M38" s="5" t="s">
        <v>133</v>
      </c>
      <c r="N38" s="5" t="s">
        <v>134</v>
      </c>
      <c r="O38" s="15" t="s">
        <v>135</v>
      </c>
      <c r="P38" s="5" t="s">
        <v>136</v>
      </c>
      <c r="Q38" s="12" t="n">
        <v>0.75</v>
      </c>
      <c r="R38" s="6" t="s">
        <v>259</v>
      </c>
      <c r="S38" s="7" t="s">
        <v>138</v>
      </c>
    </row>
    <row r="39" customFormat="false" ht="15" hidden="false" customHeight="false" outlineLevel="0" collapsed="false">
      <c r="A39" s="5" t="s">
        <v>10</v>
      </c>
      <c r="B39" s="5" t="s">
        <v>72</v>
      </c>
      <c r="C39" s="5" t="n">
        <v>0</v>
      </c>
      <c r="D39" s="6" t="s">
        <v>73</v>
      </c>
      <c r="E39" s="5" t="s">
        <v>260</v>
      </c>
      <c r="F39" s="5" t="s">
        <v>261</v>
      </c>
      <c r="G39" s="6" t="s">
        <v>262</v>
      </c>
      <c r="H39" s="6" t="s">
        <v>263</v>
      </c>
      <c r="I39" s="5" t="s">
        <v>183</v>
      </c>
      <c r="J39" s="11" t="n">
        <v>46289</v>
      </c>
      <c r="K39" s="5" t="s">
        <v>12</v>
      </c>
      <c r="L39" s="15" t="s">
        <v>132</v>
      </c>
      <c r="M39" s="5" t="s">
        <v>133</v>
      </c>
      <c r="N39" s="5" t="s">
        <v>134</v>
      </c>
      <c r="O39" s="15" t="s">
        <v>135</v>
      </c>
      <c r="P39" s="5" t="s">
        <v>135</v>
      </c>
      <c r="Q39" s="12" t="n">
        <v>0.8</v>
      </c>
      <c r="R39" s="6" t="s">
        <v>137</v>
      </c>
      <c r="S39" s="7" t="s">
        <v>138</v>
      </c>
    </row>
    <row r="40" customFormat="false" ht="15" hidden="false" customHeight="false" outlineLevel="0" collapsed="false">
      <c r="A40" s="5" t="s">
        <v>10</v>
      </c>
      <c r="B40" s="5" t="s">
        <v>72</v>
      </c>
      <c r="C40" s="5" t="n">
        <v>0</v>
      </c>
      <c r="D40" s="6" t="s">
        <v>73</v>
      </c>
      <c r="E40" s="5" t="s">
        <v>260</v>
      </c>
      <c r="F40" s="5" t="s">
        <v>264</v>
      </c>
      <c r="G40" s="6" t="s">
        <v>265</v>
      </c>
      <c r="H40" s="6" t="s">
        <v>266</v>
      </c>
      <c r="I40" s="5" t="s">
        <v>183</v>
      </c>
      <c r="J40" s="11" t="n">
        <v>46289</v>
      </c>
      <c r="K40" s="5" t="s">
        <v>12</v>
      </c>
      <c r="L40" s="15" t="s">
        <v>132</v>
      </c>
      <c r="M40" s="5" t="s">
        <v>133</v>
      </c>
      <c r="N40" s="5" t="s">
        <v>134</v>
      </c>
      <c r="O40" s="15" t="s">
        <v>135</v>
      </c>
      <c r="P40" s="5" t="s">
        <v>135</v>
      </c>
      <c r="Q40" s="12" t="n">
        <v>0.75</v>
      </c>
      <c r="R40" s="6" t="s">
        <v>137</v>
      </c>
      <c r="S40" s="7" t="s">
        <v>138</v>
      </c>
    </row>
    <row r="41" customFormat="false" ht="15" hidden="false" customHeight="false" outlineLevel="0" collapsed="false">
      <c r="A41" s="5" t="s">
        <v>10</v>
      </c>
      <c r="B41" s="5" t="s">
        <v>72</v>
      </c>
      <c r="C41" s="5" t="n">
        <v>0</v>
      </c>
      <c r="D41" s="6" t="s">
        <v>73</v>
      </c>
      <c r="E41" s="5" t="s">
        <v>260</v>
      </c>
      <c r="F41" s="5" t="s">
        <v>267</v>
      </c>
      <c r="G41" s="6" t="s">
        <v>268</v>
      </c>
      <c r="H41" s="6" t="s">
        <v>263</v>
      </c>
      <c r="I41" s="5" t="s">
        <v>183</v>
      </c>
      <c r="J41" s="11" t="n">
        <v>46289</v>
      </c>
      <c r="K41" s="5" t="s">
        <v>12</v>
      </c>
      <c r="L41" s="15" t="s">
        <v>132</v>
      </c>
      <c r="M41" s="5" t="s">
        <v>133</v>
      </c>
      <c r="N41" s="5" t="s">
        <v>134</v>
      </c>
      <c r="O41" s="15" t="s">
        <v>135</v>
      </c>
      <c r="P41" s="5" t="s">
        <v>135</v>
      </c>
      <c r="Q41" s="12" t="n">
        <v>0.75</v>
      </c>
      <c r="R41" s="6" t="s">
        <v>137</v>
      </c>
      <c r="S41" s="7" t="s">
        <v>138</v>
      </c>
    </row>
    <row r="42" customFormat="false" ht="15" hidden="false" customHeight="false" outlineLevel="0" collapsed="false">
      <c r="A42" s="5" t="s">
        <v>10</v>
      </c>
      <c r="B42" s="5" t="s">
        <v>72</v>
      </c>
      <c r="C42" s="5" t="n">
        <v>0</v>
      </c>
      <c r="D42" s="6" t="s">
        <v>73</v>
      </c>
      <c r="E42" s="5" t="s">
        <v>260</v>
      </c>
      <c r="F42" s="5" t="s">
        <v>269</v>
      </c>
      <c r="G42" s="6" t="s">
        <v>270</v>
      </c>
      <c r="H42" s="6" t="s">
        <v>271</v>
      </c>
      <c r="I42" s="5" t="s">
        <v>183</v>
      </c>
      <c r="J42" s="11" t="n">
        <v>46289</v>
      </c>
      <c r="K42" s="5" t="s">
        <v>12</v>
      </c>
      <c r="L42" s="15" t="s">
        <v>132</v>
      </c>
      <c r="M42" s="5" t="s">
        <v>133</v>
      </c>
      <c r="N42" s="5" t="s">
        <v>134</v>
      </c>
      <c r="O42" s="15" t="s">
        <v>135</v>
      </c>
      <c r="P42" s="5" t="s">
        <v>135</v>
      </c>
      <c r="Q42" s="12" t="n">
        <v>0.7</v>
      </c>
      <c r="R42" s="6" t="s">
        <v>137</v>
      </c>
      <c r="S42" s="7" t="s">
        <v>138</v>
      </c>
    </row>
    <row r="43" customFormat="false" ht="15" hidden="false" customHeight="false" outlineLevel="0" collapsed="false">
      <c r="A43" s="5" t="s">
        <v>10</v>
      </c>
      <c r="B43" s="5" t="s">
        <v>72</v>
      </c>
      <c r="C43" s="5" t="n">
        <v>0</v>
      </c>
      <c r="D43" s="6" t="s">
        <v>73</v>
      </c>
      <c r="E43" s="5" t="s">
        <v>260</v>
      </c>
      <c r="F43" s="5" t="s">
        <v>272</v>
      </c>
      <c r="G43" s="6" t="s">
        <v>273</v>
      </c>
      <c r="H43" s="6" t="s">
        <v>263</v>
      </c>
      <c r="I43" s="5" t="s">
        <v>183</v>
      </c>
      <c r="J43" s="11" t="n">
        <v>46289</v>
      </c>
      <c r="K43" s="5" t="s">
        <v>12</v>
      </c>
      <c r="L43" s="15" t="s">
        <v>132</v>
      </c>
      <c r="M43" s="5" t="s">
        <v>133</v>
      </c>
      <c r="N43" s="5" t="s">
        <v>134</v>
      </c>
      <c r="O43" s="15" t="s">
        <v>135</v>
      </c>
      <c r="P43" s="5" t="s">
        <v>135</v>
      </c>
      <c r="Q43" s="12" t="n">
        <v>0.85</v>
      </c>
      <c r="R43" s="6" t="s">
        <v>137</v>
      </c>
      <c r="S43" s="7" t="s">
        <v>138</v>
      </c>
    </row>
    <row r="44" customFormat="false" ht="15" hidden="false" customHeight="false" outlineLevel="0" collapsed="false">
      <c r="A44" s="5" t="s">
        <v>10</v>
      </c>
      <c r="B44" s="5" t="s">
        <v>72</v>
      </c>
      <c r="C44" s="5" t="n">
        <v>0</v>
      </c>
      <c r="D44" s="6" t="s">
        <v>73</v>
      </c>
      <c r="E44" s="5" t="s">
        <v>260</v>
      </c>
      <c r="F44" s="5" t="s">
        <v>274</v>
      </c>
      <c r="G44" s="6" t="s">
        <v>275</v>
      </c>
      <c r="H44" s="6" t="s">
        <v>263</v>
      </c>
      <c r="I44" s="5" t="s">
        <v>183</v>
      </c>
      <c r="J44" s="11" t="n">
        <v>46289</v>
      </c>
      <c r="K44" s="5" t="s">
        <v>12</v>
      </c>
      <c r="L44" s="15" t="s">
        <v>132</v>
      </c>
      <c r="M44" s="5" t="s">
        <v>133</v>
      </c>
      <c r="N44" s="5" t="s">
        <v>134</v>
      </c>
      <c r="O44" s="15" t="s">
        <v>135</v>
      </c>
      <c r="P44" s="5" t="s">
        <v>135</v>
      </c>
      <c r="Q44" s="12" t="n">
        <v>0.85</v>
      </c>
      <c r="R44" s="6" t="s">
        <v>137</v>
      </c>
      <c r="S44" s="7" t="s">
        <v>138</v>
      </c>
    </row>
    <row r="45" customFormat="false" ht="15" hidden="false" customHeight="false" outlineLevel="0" collapsed="false">
      <c r="A45" s="5" t="s">
        <v>10</v>
      </c>
      <c r="B45" s="5" t="s">
        <v>72</v>
      </c>
      <c r="C45" s="5" t="n">
        <v>0</v>
      </c>
      <c r="D45" s="6" t="s">
        <v>73</v>
      </c>
      <c r="E45" s="5" t="s">
        <v>260</v>
      </c>
      <c r="F45" s="5" t="s">
        <v>276</v>
      </c>
      <c r="G45" s="6" t="s">
        <v>277</v>
      </c>
      <c r="H45" s="6" t="s">
        <v>263</v>
      </c>
      <c r="I45" s="5" t="s">
        <v>183</v>
      </c>
      <c r="J45" s="11" t="n">
        <v>46289</v>
      </c>
      <c r="K45" s="5" t="s">
        <v>12</v>
      </c>
      <c r="L45" s="15" t="s">
        <v>132</v>
      </c>
      <c r="M45" s="5" t="s">
        <v>133</v>
      </c>
      <c r="N45" s="5" t="s">
        <v>134</v>
      </c>
      <c r="O45" s="15" t="s">
        <v>135</v>
      </c>
      <c r="P45" s="5" t="s">
        <v>135</v>
      </c>
      <c r="Q45" s="12" t="n">
        <v>0.8</v>
      </c>
      <c r="R45" s="6" t="s">
        <v>137</v>
      </c>
      <c r="S45" s="7" t="s">
        <v>138</v>
      </c>
    </row>
    <row r="46" customFormat="false" ht="15" hidden="false" customHeight="false" outlineLevel="0" collapsed="false">
      <c r="A46" s="5" t="s">
        <v>10</v>
      </c>
      <c r="B46" s="5" t="s">
        <v>72</v>
      </c>
      <c r="C46" s="5" t="n">
        <v>0</v>
      </c>
      <c r="D46" s="6" t="s">
        <v>73</v>
      </c>
      <c r="E46" s="5" t="s">
        <v>260</v>
      </c>
      <c r="F46" s="5" t="s">
        <v>278</v>
      </c>
      <c r="G46" s="6" t="s">
        <v>279</v>
      </c>
      <c r="H46" s="6" t="s">
        <v>263</v>
      </c>
      <c r="I46" s="5" t="s">
        <v>183</v>
      </c>
      <c r="J46" s="11" t="n">
        <v>46289</v>
      </c>
      <c r="K46" s="5" t="s">
        <v>12</v>
      </c>
      <c r="L46" s="15" t="s">
        <v>132</v>
      </c>
      <c r="M46" s="5" t="s">
        <v>133</v>
      </c>
      <c r="N46" s="5" t="s">
        <v>134</v>
      </c>
      <c r="O46" s="15" t="s">
        <v>135</v>
      </c>
      <c r="P46" s="5" t="s">
        <v>135</v>
      </c>
      <c r="Q46" s="12" t="n">
        <v>0.8</v>
      </c>
      <c r="R46" s="6" t="s">
        <v>137</v>
      </c>
      <c r="S46" s="7" t="s">
        <v>138</v>
      </c>
    </row>
    <row r="47" customFormat="false" ht="15" hidden="false" customHeight="false" outlineLevel="0" collapsed="false">
      <c r="A47" s="5" t="s">
        <v>10</v>
      </c>
      <c r="B47" s="5" t="s">
        <v>72</v>
      </c>
      <c r="C47" s="5" t="n">
        <v>0</v>
      </c>
      <c r="D47" s="6" t="s">
        <v>73</v>
      </c>
      <c r="E47" s="5" t="s">
        <v>260</v>
      </c>
      <c r="F47" s="5" t="s">
        <v>280</v>
      </c>
      <c r="G47" s="6" t="s">
        <v>281</v>
      </c>
      <c r="H47" s="6" t="s">
        <v>263</v>
      </c>
      <c r="I47" s="5" t="s">
        <v>183</v>
      </c>
      <c r="J47" s="11" t="n">
        <v>46289</v>
      </c>
      <c r="K47" s="5" t="s">
        <v>12</v>
      </c>
      <c r="L47" s="15" t="s">
        <v>132</v>
      </c>
      <c r="M47" s="5" t="s">
        <v>133</v>
      </c>
      <c r="N47" s="5" t="s">
        <v>134</v>
      </c>
      <c r="O47" s="15" t="s">
        <v>135</v>
      </c>
      <c r="P47" s="5" t="s">
        <v>135</v>
      </c>
      <c r="Q47" s="12" t="n">
        <v>0.8</v>
      </c>
      <c r="R47" s="6" t="s">
        <v>137</v>
      </c>
      <c r="S47" s="7" t="s">
        <v>138</v>
      </c>
    </row>
    <row r="48" customFormat="false" ht="15" hidden="false" customHeight="false" outlineLevel="0" collapsed="false">
      <c r="A48" s="5" t="s">
        <v>10</v>
      </c>
      <c r="B48" s="5" t="s">
        <v>72</v>
      </c>
      <c r="C48" s="5" t="n">
        <v>0</v>
      </c>
      <c r="D48" s="6" t="s">
        <v>73</v>
      </c>
      <c r="E48" s="5" t="s">
        <v>260</v>
      </c>
      <c r="F48" s="5" t="s">
        <v>282</v>
      </c>
      <c r="G48" s="6" t="s">
        <v>185</v>
      </c>
      <c r="H48" s="6" t="s">
        <v>263</v>
      </c>
      <c r="I48" s="5" t="s">
        <v>183</v>
      </c>
      <c r="J48" s="11" t="n">
        <v>46289</v>
      </c>
      <c r="K48" s="5" t="s">
        <v>12</v>
      </c>
      <c r="L48" s="15" t="s">
        <v>132</v>
      </c>
      <c r="M48" s="5" t="s">
        <v>133</v>
      </c>
      <c r="N48" s="5" t="s">
        <v>134</v>
      </c>
      <c r="O48" s="15" t="s">
        <v>135</v>
      </c>
      <c r="P48" s="5" t="s">
        <v>135</v>
      </c>
      <c r="Q48" s="12" t="n">
        <v>0.85</v>
      </c>
      <c r="R48" s="6" t="s">
        <v>137</v>
      </c>
      <c r="S48" s="7" t="s">
        <v>138</v>
      </c>
    </row>
    <row r="49" customFormat="false" ht="15" hidden="false" customHeight="false" outlineLevel="0" collapsed="false">
      <c r="A49" s="5" t="s">
        <v>10</v>
      </c>
      <c r="B49" s="5" t="s">
        <v>72</v>
      </c>
      <c r="C49" s="5" t="n">
        <v>0</v>
      </c>
      <c r="D49" s="6" t="s">
        <v>73</v>
      </c>
      <c r="E49" s="5" t="s">
        <v>260</v>
      </c>
      <c r="F49" s="5" t="s">
        <v>283</v>
      </c>
      <c r="G49" s="6" t="s">
        <v>284</v>
      </c>
      <c r="H49" s="6" t="s">
        <v>285</v>
      </c>
      <c r="I49" s="5" t="s">
        <v>183</v>
      </c>
      <c r="J49" s="11" t="n">
        <v>46289</v>
      </c>
      <c r="K49" s="5" t="s">
        <v>12</v>
      </c>
      <c r="L49" s="15" t="s">
        <v>132</v>
      </c>
      <c r="M49" s="5" t="s">
        <v>133</v>
      </c>
      <c r="N49" s="5" t="s">
        <v>134</v>
      </c>
      <c r="O49" s="15" t="s">
        <v>135</v>
      </c>
      <c r="P49" s="5" t="s">
        <v>135</v>
      </c>
      <c r="Q49" s="12" t="n">
        <v>0.7</v>
      </c>
      <c r="R49" s="6" t="s">
        <v>137</v>
      </c>
      <c r="S49" s="7" t="s">
        <v>138</v>
      </c>
    </row>
    <row r="50" customFormat="false" ht="15" hidden="false" customHeight="false" outlineLevel="0" collapsed="false">
      <c r="A50" s="5" t="s">
        <v>10</v>
      </c>
      <c r="B50" s="5" t="s">
        <v>72</v>
      </c>
      <c r="C50" s="5" t="n">
        <v>0</v>
      </c>
      <c r="D50" s="6" t="s">
        <v>73</v>
      </c>
      <c r="E50" s="5" t="s">
        <v>260</v>
      </c>
      <c r="F50" s="5" t="s">
        <v>286</v>
      </c>
      <c r="G50" s="6" t="s">
        <v>287</v>
      </c>
      <c r="H50" s="6" t="s">
        <v>288</v>
      </c>
      <c r="I50" s="5" t="s">
        <v>183</v>
      </c>
      <c r="J50" s="11" t="n">
        <v>46289</v>
      </c>
      <c r="K50" s="5" t="s">
        <v>12</v>
      </c>
      <c r="L50" s="15" t="s">
        <v>132</v>
      </c>
      <c r="M50" s="5" t="s">
        <v>133</v>
      </c>
      <c r="N50" s="5" t="s">
        <v>134</v>
      </c>
      <c r="O50" s="15" t="s">
        <v>135</v>
      </c>
      <c r="P50" s="5" t="s">
        <v>135</v>
      </c>
      <c r="Q50" s="12" t="n">
        <v>0.8</v>
      </c>
      <c r="R50" s="6" t="s">
        <v>289</v>
      </c>
      <c r="S50" s="7" t="s">
        <v>138</v>
      </c>
    </row>
    <row r="51" customFormat="false" ht="15" hidden="false" customHeight="false" outlineLevel="0" collapsed="false">
      <c r="A51" s="5" t="s">
        <v>10</v>
      </c>
      <c r="B51" s="5" t="s">
        <v>72</v>
      </c>
      <c r="C51" s="5" t="n">
        <v>0</v>
      </c>
      <c r="D51" s="6" t="s">
        <v>73</v>
      </c>
      <c r="E51" s="5" t="s">
        <v>290</v>
      </c>
      <c r="F51" s="5" t="s">
        <v>291</v>
      </c>
      <c r="G51" s="6" t="s">
        <v>292</v>
      </c>
      <c r="H51" s="6" t="s">
        <v>293</v>
      </c>
      <c r="I51" s="5" t="s">
        <v>294</v>
      </c>
      <c r="J51" s="11" t="n">
        <v>46289</v>
      </c>
      <c r="K51" s="5" t="s">
        <v>12</v>
      </c>
      <c r="L51" s="15" t="s">
        <v>132</v>
      </c>
      <c r="M51" s="5" t="s">
        <v>133</v>
      </c>
      <c r="N51" s="5" t="s">
        <v>134</v>
      </c>
      <c r="O51" s="15" t="s">
        <v>135</v>
      </c>
      <c r="P51" s="5" t="s">
        <v>135</v>
      </c>
      <c r="Q51" s="12" t="n">
        <v>0.7</v>
      </c>
      <c r="R51" s="6" t="s">
        <v>137</v>
      </c>
      <c r="S51" s="7" t="s">
        <v>138</v>
      </c>
    </row>
    <row r="52" customFormat="false" ht="15" hidden="false" customHeight="false" outlineLevel="0" collapsed="false">
      <c r="A52" s="5" t="s">
        <v>10</v>
      </c>
      <c r="B52" s="5" t="s">
        <v>72</v>
      </c>
      <c r="C52" s="5" t="n">
        <v>0</v>
      </c>
      <c r="D52" s="6" t="s">
        <v>73</v>
      </c>
      <c r="E52" s="5" t="s">
        <v>290</v>
      </c>
      <c r="F52" s="5" t="s">
        <v>295</v>
      </c>
      <c r="G52" s="6" t="s">
        <v>296</v>
      </c>
      <c r="H52" s="6" t="s">
        <v>297</v>
      </c>
      <c r="I52" s="5" t="s">
        <v>294</v>
      </c>
      <c r="J52" s="11" t="n">
        <v>46289</v>
      </c>
      <c r="K52" s="5" t="s">
        <v>12</v>
      </c>
      <c r="L52" s="15" t="s">
        <v>132</v>
      </c>
      <c r="M52" s="5" t="s">
        <v>133</v>
      </c>
      <c r="N52" s="5" t="s">
        <v>134</v>
      </c>
      <c r="O52" s="15" t="s">
        <v>135</v>
      </c>
      <c r="P52" s="5" t="s">
        <v>135</v>
      </c>
      <c r="Q52" s="12" t="n">
        <v>0.8</v>
      </c>
      <c r="R52" s="6" t="s">
        <v>298</v>
      </c>
      <c r="S52" s="7" t="s">
        <v>138</v>
      </c>
    </row>
    <row r="53" customFormat="false" ht="15" hidden="false" customHeight="false" outlineLevel="0" collapsed="false">
      <c r="A53" s="5" t="s">
        <v>10</v>
      </c>
      <c r="B53" s="5" t="s">
        <v>72</v>
      </c>
      <c r="C53" s="5" t="n">
        <v>0</v>
      </c>
      <c r="D53" s="6" t="s">
        <v>73</v>
      </c>
      <c r="E53" s="5" t="s">
        <v>299</v>
      </c>
      <c r="F53" s="5" t="s">
        <v>300</v>
      </c>
      <c r="G53" s="6" t="s">
        <v>301</v>
      </c>
      <c r="H53" s="6" t="s">
        <v>302</v>
      </c>
      <c r="I53" s="5" t="s">
        <v>294</v>
      </c>
      <c r="J53" s="11" t="n">
        <v>46289</v>
      </c>
      <c r="K53" s="5" t="s">
        <v>12</v>
      </c>
      <c r="L53" s="15" t="s">
        <v>132</v>
      </c>
      <c r="M53" s="5" t="s">
        <v>133</v>
      </c>
      <c r="N53" s="5" t="s">
        <v>134</v>
      </c>
      <c r="O53" s="15" t="s">
        <v>135</v>
      </c>
      <c r="P53" s="5" t="s">
        <v>135</v>
      </c>
      <c r="Q53" s="12" t="n">
        <v>0.75</v>
      </c>
      <c r="R53" s="6" t="s">
        <v>303</v>
      </c>
      <c r="S53" s="7" t="s">
        <v>138</v>
      </c>
    </row>
    <row r="54" customFormat="false" ht="15" hidden="false" customHeight="false" outlineLevel="0" collapsed="false">
      <c r="A54" s="5" t="s">
        <v>10</v>
      </c>
      <c r="B54" s="5" t="s">
        <v>72</v>
      </c>
      <c r="C54" s="5" t="n">
        <v>0</v>
      </c>
      <c r="D54" s="6" t="s">
        <v>73</v>
      </c>
      <c r="E54" s="5" t="s">
        <v>299</v>
      </c>
      <c r="F54" s="5" t="s">
        <v>304</v>
      </c>
      <c r="G54" s="6" t="s">
        <v>305</v>
      </c>
      <c r="H54" s="6" t="s">
        <v>306</v>
      </c>
      <c r="I54" s="5" t="s">
        <v>294</v>
      </c>
      <c r="J54" s="11" t="n">
        <v>46289</v>
      </c>
      <c r="K54" s="5" t="s">
        <v>12</v>
      </c>
      <c r="L54" s="15" t="s">
        <v>132</v>
      </c>
      <c r="M54" s="5" t="s">
        <v>133</v>
      </c>
      <c r="N54" s="5" t="s">
        <v>134</v>
      </c>
      <c r="O54" s="15" t="s">
        <v>135</v>
      </c>
      <c r="P54" s="5" t="s">
        <v>135</v>
      </c>
      <c r="Q54" s="12" t="n">
        <v>0.7</v>
      </c>
      <c r="R54" s="6" t="s">
        <v>137</v>
      </c>
      <c r="S54" s="7" t="s">
        <v>138</v>
      </c>
    </row>
    <row r="55" customFormat="false" ht="35.05" hidden="false" customHeight="false" outlineLevel="0" collapsed="false">
      <c r="A55" s="5" t="s">
        <v>10</v>
      </c>
      <c r="B55" s="5" t="s">
        <v>72</v>
      </c>
      <c r="C55" s="5" t="n">
        <v>0</v>
      </c>
      <c r="D55" s="6" t="s">
        <v>73</v>
      </c>
      <c r="E55" s="5" t="s">
        <v>307</v>
      </c>
      <c r="F55" s="5" t="s">
        <v>308</v>
      </c>
      <c r="G55" s="6" t="s">
        <v>309</v>
      </c>
      <c r="H55" s="6" t="s">
        <v>310</v>
      </c>
      <c r="I55" s="5" t="s">
        <v>294</v>
      </c>
      <c r="J55" s="11" t="n">
        <v>46290</v>
      </c>
      <c r="K55" s="5" t="s">
        <v>12</v>
      </c>
      <c r="L55" s="15" t="s">
        <v>132</v>
      </c>
      <c r="M55" s="5" t="s">
        <v>133</v>
      </c>
      <c r="N55" s="5" t="s">
        <v>134</v>
      </c>
      <c r="O55" s="15" t="s">
        <v>135</v>
      </c>
      <c r="P55" s="5" t="s">
        <v>136</v>
      </c>
      <c r="Q55" s="12" t="n">
        <v>0.85</v>
      </c>
      <c r="R55" s="6" t="s">
        <v>311</v>
      </c>
      <c r="S55" s="7" t="s">
        <v>138</v>
      </c>
    </row>
    <row r="56" customFormat="false" ht="15" hidden="false" customHeight="false" outlineLevel="0" collapsed="false">
      <c r="A56" s="5" t="s">
        <v>10</v>
      </c>
      <c r="B56" s="5" t="s">
        <v>72</v>
      </c>
      <c r="C56" s="5" t="n">
        <v>0</v>
      </c>
      <c r="D56" s="6" t="s">
        <v>73</v>
      </c>
      <c r="E56" s="5" t="s">
        <v>312</v>
      </c>
      <c r="F56" s="5" t="s">
        <v>313</v>
      </c>
      <c r="G56" s="6" t="s">
        <v>314</v>
      </c>
      <c r="H56" s="6" t="s">
        <v>167</v>
      </c>
      <c r="I56" s="5" t="s">
        <v>294</v>
      </c>
      <c r="J56" s="11" t="n">
        <v>46289</v>
      </c>
      <c r="K56" s="5" t="s">
        <v>12</v>
      </c>
      <c r="L56" s="15" t="s">
        <v>132</v>
      </c>
      <c r="M56" s="5" t="s">
        <v>133</v>
      </c>
      <c r="N56" s="5" t="s">
        <v>134</v>
      </c>
      <c r="O56" s="15" t="s">
        <v>135</v>
      </c>
      <c r="P56" s="5" t="s">
        <v>135</v>
      </c>
      <c r="Q56" s="12" t="n">
        <v>0.7</v>
      </c>
      <c r="R56" s="6" t="s">
        <v>137</v>
      </c>
      <c r="S56" s="7" t="s">
        <v>138</v>
      </c>
    </row>
    <row r="57" customFormat="false" ht="23.85" hidden="false" customHeight="false" outlineLevel="0" collapsed="false">
      <c r="A57" s="5" t="s">
        <v>10</v>
      </c>
      <c r="B57" s="5" t="s">
        <v>72</v>
      </c>
      <c r="C57" s="5" t="n">
        <v>0</v>
      </c>
      <c r="D57" s="6" t="s">
        <v>73</v>
      </c>
      <c r="E57" s="5" t="s">
        <v>312</v>
      </c>
      <c r="F57" s="5" t="s">
        <v>315</v>
      </c>
      <c r="G57" s="6" t="s">
        <v>316</v>
      </c>
      <c r="H57" s="6" t="s">
        <v>317</v>
      </c>
      <c r="I57" s="5" t="s">
        <v>294</v>
      </c>
      <c r="J57" s="11" t="n">
        <v>46290</v>
      </c>
      <c r="K57" s="5" t="s">
        <v>12</v>
      </c>
      <c r="L57" s="15" t="s">
        <v>132</v>
      </c>
      <c r="M57" s="5" t="s">
        <v>133</v>
      </c>
      <c r="N57" s="5" t="s">
        <v>134</v>
      </c>
      <c r="O57" s="15" t="s">
        <v>135</v>
      </c>
      <c r="P57" s="5" t="s">
        <v>135</v>
      </c>
      <c r="Q57" s="12" t="n">
        <v>0.8</v>
      </c>
      <c r="R57" s="6" t="s">
        <v>318</v>
      </c>
      <c r="S57" s="7" t="s">
        <v>138</v>
      </c>
    </row>
    <row r="58" customFormat="false" ht="15" hidden="false" customHeight="false" outlineLevel="0" collapsed="false">
      <c r="A58" s="5" t="s">
        <v>10</v>
      </c>
      <c r="B58" s="5" t="s">
        <v>72</v>
      </c>
      <c r="C58" s="5" t="n">
        <v>0</v>
      </c>
      <c r="D58" s="6" t="s">
        <v>73</v>
      </c>
      <c r="E58" s="5" t="s">
        <v>319</v>
      </c>
      <c r="F58" s="5" t="s">
        <v>320</v>
      </c>
      <c r="G58" s="6" t="s">
        <v>321</v>
      </c>
      <c r="H58" s="6" t="s">
        <v>322</v>
      </c>
      <c r="I58" s="5" t="s">
        <v>294</v>
      </c>
      <c r="J58" s="11" t="n">
        <v>46289</v>
      </c>
      <c r="K58" s="5" t="s">
        <v>12</v>
      </c>
      <c r="L58" s="15" t="s">
        <v>132</v>
      </c>
      <c r="M58" s="5" t="s">
        <v>133</v>
      </c>
      <c r="N58" s="5" t="s">
        <v>134</v>
      </c>
      <c r="O58" s="15" t="s">
        <v>135</v>
      </c>
      <c r="P58" s="5" t="s">
        <v>323</v>
      </c>
      <c r="Q58" s="12" t="n">
        <v>0.75</v>
      </c>
      <c r="R58" s="6" t="s">
        <v>324</v>
      </c>
      <c r="S58" s="7" t="s">
        <v>138</v>
      </c>
    </row>
    <row r="59" customFormat="false" ht="15" hidden="false" customHeight="false" outlineLevel="0" collapsed="false">
      <c r="A59" s="5" t="s">
        <v>10</v>
      </c>
      <c r="B59" s="5" t="s">
        <v>72</v>
      </c>
      <c r="C59" s="5" t="n">
        <v>0</v>
      </c>
      <c r="D59" s="6" t="s">
        <v>73</v>
      </c>
      <c r="E59" s="5" t="s">
        <v>319</v>
      </c>
      <c r="F59" s="5" t="s">
        <v>325</v>
      </c>
      <c r="G59" s="6" t="s">
        <v>326</v>
      </c>
      <c r="H59" s="6" t="s">
        <v>167</v>
      </c>
      <c r="I59" s="5" t="s">
        <v>294</v>
      </c>
      <c r="J59" s="11" t="n">
        <v>46289</v>
      </c>
      <c r="K59" s="5" t="s">
        <v>12</v>
      </c>
      <c r="L59" s="15" t="s">
        <v>132</v>
      </c>
      <c r="M59" s="5" t="s">
        <v>133</v>
      </c>
      <c r="N59" s="5" t="s">
        <v>134</v>
      </c>
      <c r="O59" s="15" t="s">
        <v>135</v>
      </c>
      <c r="P59" s="5" t="s">
        <v>135</v>
      </c>
      <c r="Q59" s="12" t="n">
        <v>0.8</v>
      </c>
      <c r="R59" s="6" t="s">
        <v>137</v>
      </c>
      <c r="S59" s="7" t="s">
        <v>138</v>
      </c>
    </row>
    <row r="60" customFormat="false" ht="35.05" hidden="false" customHeight="false" outlineLevel="0" collapsed="false">
      <c r="A60" s="5" t="s">
        <v>10</v>
      </c>
      <c r="B60" s="5" t="s">
        <v>72</v>
      </c>
      <c r="C60" s="5" t="n">
        <v>1</v>
      </c>
      <c r="D60" s="6" t="s">
        <v>74</v>
      </c>
      <c r="E60" s="5" t="s">
        <v>127</v>
      </c>
      <c r="F60" s="5" t="s">
        <v>327</v>
      </c>
      <c r="G60" s="6" t="s">
        <v>328</v>
      </c>
      <c r="H60" s="6" t="s">
        <v>329</v>
      </c>
      <c r="I60" s="5" t="s">
        <v>131</v>
      </c>
      <c r="J60" s="11" t="n">
        <v>46289</v>
      </c>
      <c r="K60" s="5" t="s">
        <v>12</v>
      </c>
      <c r="L60" s="15" t="s">
        <v>132</v>
      </c>
      <c r="M60" s="5" t="s">
        <v>133</v>
      </c>
      <c r="N60" s="5" t="s">
        <v>134</v>
      </c>
      <c r="O60" s="15" t="s">
        <v>135</v>
      </c>
      <c r="P60" s="5" t="s">
        <v>136</v>
      </c>
      <c r="Q60" s="12" t="n">
        <v>0.95</v>
      </c>
      <c r="R60" s="6" t="s">
        <v>330</v>
      </c>
      <c r="S60" s="7" t="s">
        <v>138</v>
      </c>
    </row>
    <row r="61" customFormat="false" ht="35.05" hidden="false" customHeight="false" outlineLevel="0" collapsed="false">
      <c r="A61" s="5" t="s">
        <v>10</v>
      </c>
      <c r="B61" s="5" t="s">
        <v>72</v>
      </c>
      <c r="C61" s="5" t="n">
        <v>1</v>
      </c>
      <c r="D61" s="6" t="s">
        <v>74</v>
      </c>
      <c r="E61" s="5" t="s">
        <v>127</v>
      </c>
      <c r="F61" s="5" t="s">
        <v>331</v>
      </c>
      <c r="G61" s="6" t="s">
        <v>332</v>
      </c>
      <c r="H61" s="6" t="s">
        <v>333</v>
      </c>
      <c r="I61" s="5" t="s">
        <v>131</v>
      </c>
      <c r="J61" s="11" t="n">
        <v>46289</v>
      </c>
      <c r="K61" s="5" t="s">
        <v>12</v>
      </c>
      <c r="L61" s="15" t="s">
        <v>132</v>
      </c>
      <c r="M61" s="5" t="s">
        <v>133</v>
      </c>
      <c r="N61" s="5" t="s">
        <v>134</v>
      </c>
      <c r="O61" s="15" t="s">
        <v>135</v>
      </c>
      <c r="P61" s="5" t="s">
        <v>135</v>
      </c>
      <c r="Q61" s="12" t="n">
        <v>0.9</v>
      </c>
      <c r="R61" s="6" t="s">
        <v>334</v>
      </c>
      <c r="S61" s="7" t="s">
        <v>138</v>
      </c>
    </row>
    <row r="62" customFormat="false" ht="46.25" hidden="false" customHeight="false" outlineLevel="0" collapsed="false">
      <c r="A62" s="5" t="s">
        <v>10</v>
      </c>
      <c r="B62" s="5" t="s">
        <v>72</v>
      </c>
      <c r="C62" s="5" t="n">
        <v>1</v>
      </c>
      <c r="D62" s="6" t="s">
        <v>74</v>
      </c>
      <c r="E62" s="5" t="s">
        <v>164</v>
      </c>
      <c r="F62" s="5" t="s">
        <v>335</v>
      </c>
      <c r="G62" s="6" t="s">
        <v>336</v>
      </c>
      <c r="H62" s="6" t="s">
        <v>337</v>
      </c>
      <c r="I62" s="5" t="s">
        <v>168</v>
      </c>
      <c r="J62" s="11" t="n">
        <v>46289</v>
      </c>
      <c r="K62" s="5" t="s">
        <v>12</v>
      </c>
      <c r="L62" s="15" t="s">
        <v>132</v>
      </c>
      <c r="M62" s="5" t="s">
        <v>133</v>
      </c>
      <c r="N62" s="5" t="s">
        <v>134</v>
      </c>
      <c r="O62" s="15" t="s">
        <v>135</v>
      </c>
      <c r="P62" s="5" t="s">
        <v>136</v>
      </c>
      <c r="Q62" s="12" t="n">
        <v>0.9</v>
      </c>
      <c r="R62" s="6" t="s">
        <v>338</v>
      </c>
      <c r="S62" s="7" t="s">
        <v>138</v>
      </c>
    </row>
    <row r="63" customFormat="false" ht="35.05" hidden="false" customHeight="false" outlineLevel="0" collapsed="false">
      <c r="A63" s="5" t="s">
        <v>10</v>
      </c>
      <c r="B63" s="5" t="s">
        <v>72</v>
      </c>
      <c r="C63" s="5" t="n">
        <v>1</v>
      </c>
      <c r="D63" s="6" t="s">
        <v>74</v>
      </c>
      <c r="E63" s="5" t="s">
        <v>164</v>
      </c>
      <c r="F63" s="5" t="s">
        <v>339</v>
      </c>
      <c r="G63" s="6" t="s">
        <v>340</v>
      </c>
      <c r="H63" s="6" t="s">
        <v>341</v>
      </c>
      <c r="I63" s="5" t="s">
        <v>168</v>
      </c>
      <c r="J63" s="11" t="n">
        <v>46289</v>
      </c>
      <c r="K63" s="5" t="s">
        <v>12</v>
      </c>
      <c r="L63" s="15" t="s">
        <v>132</v>
      </c>
      <c r="M63" s="5" t="s">
        <v>133</v>
      </c>
      <c r="N63" s="5" t="s">
        <v>134</v>
      </c>
      <c r="O63" s="15" t="s">
        <v>135</v>
      </c>
      <c r="P63" s="5" t="s">
        <v>135</v>
      </c>
      <c r="Q63" s="12" t="n">
        <v>0.85</v>
      </c>
      <c r="R63" s="6" t="s">
        <v>342</v>
      </c>
      <c r="S63" s="7" t="s">
        <v>138</v>
      </c>
    </row>
    <row r="64" customFormat="false" ht="23.85" hidden="false" customHeight="false" outlineLevel="0" collapsed="false">
      <c r="A64" s="5" t="s">
        <v>10</v>
      </c>
      <c r="B64" s="5" t="s">
        <v>72</v>
      </c>
      <c r="C64" s="5" t="n">
        <v>1</v>
      </c>
      <c r="D64" s="6" t="s">
        <v>74</v>
      </c>
      <c r="E64" s="5" t="s">
        <v>312</v>
      </c>
      <c r="F64" s="5" t="s">
        <v>343</v>
      </c>
      <c r="G64" s="6" t="s">
        <v>344</v>
      </c>
      <c r="H64" s="6" t="s">
        <v>345</v>
      </c>
      <c r="I64" s="5" t="s">
        <v>294</v>
      </c>
      <c r="J64" s="11" t="n">
        <v>46289</v>
      </c>
      <c r="K64" s="5" t="s">
        <v>12</v>
      </c>
      <c r="L64" s="15" t="s">
        <v>132</v>
      </c>
      <c r="M64" s="5" t="s">
        <v>133</v>
      </c>
      <c r="N64" s="5" t="s">
        <v>134</v>
      </c>
      <c r="O64" s="15" t="s">
        <v>135</v>
      </c>
      <c r="P64" s="5" t="s">
        <v>136</v>
      </c>
      <c r="Q64" s="12" t="n">
        <v>0.9</v>
      </c>
      <c r="R64" s="6" t="s">
        <v>346</v>
      </c>
      <c r="S64" s="7" t="s">
        <v>138</v>
      </c>
    </row>
    <row r="65" customFormat="false" ht="23.85" hidden="false" customHeight="false" outlineLevel="0" collapsed="false">
      <c r="A65" s="5" t="s">
        <v>10</v>
      </c>
      <c r="B65" s="5" t="s">
        <v>72</v>
      </c>
      <c r="C65" s="5" t="n">
        <v>1</v>
      </c>
      <c r="D65" s="6" t="s">
        <v>74</v>
      </c>
      <c r="E65" s="5" t="s">
        <v>312</v>
      </c>
      <c r="F65" s="5" t="s">
        <v>347</v>
      </c>
      <c r="G65" s="6" t="s">
        <v>348</v>
      </c>
      <c r="H65" s="6" t="s">
        <v>349</v>
      </c>
      <c r="I65" s="5" t="s">
        <v>294</v>
      </c>
      <c r="J65" s="11" t="n">
        <v>46289</v>
      </c>
      <c r="K65" s="5" t="s">
        <v>12</v>
      </c>
      <c r="L65" s="15" t="s">
        <v>132</v>
      </c>
      <c r="M65" s="5" t="s">
        <v>133</v>
      </c>
      <c r="N65" s="5" t="s">
        <v>134</v>
      </c>
      <c r="O65" s="15" t="s">
        <v>135</v>
      </c>
      <c r="P65" s="5" t="s">
        <v>136</v>
      </c>
      <c r="Q65" s="12" t="n">
        <v>0.85</v>
      </c>
      <c r="R65" s="6" t="s">
        <v>350</v>
      </c>
      <c r="S65" s="7" t="s">
        <v>138</v>
      </c>
    </row>
    <row r="66" customFormat="false" ht="23.85" hidden="false" customHeight="false" outlineLevel="0" collapsed="false">
      <c r="A66" s="5" t="s">
        <v>10</v>
      </c>
      <c r="B66" s="5" t="s">
        <v>72</v>
      </c>
      <c r="C66" s="5" t="n">
        <v>1</v>
      </c>
      <c r="D66" s="6" t="s">
        <v>74</v>
      </c>
      <c r="E66" s="5" t="s">
        <v>312</v>
      </c>
      <c r="F66" s="5" t="s">
        <v>351</v>
      </c>
      <c r="G66" s="6" t="s">
        <v>352</v>
      </c>
      <c r="H66" s="6" t="s">
        <v>353</v>
      </c>
      <c r="I66" s="5" t="s">
        <v>294</v>
      </c>
      <c r="J66" s="11" t="n">
        <v>46302</v>
      </c>
      <c r="K66" s="5" t="s">
        <v>12</v>
      </c>
      <c r="L66" s="15" t="s">
        <v>132</v>
      </c>
      <c r="M66" s="5" t="s">
        <v>133</v>
      </c>
      <c r="N66" s="5" t="s">
        <v>134</v>
      </c>
      <c r="O66" s="15" t="s">
        <v>135</v>
      </c>
      <c r="P66" s="5" t="s">
        <v>135</v>
      </c>
      <c r="Q66" s="12" t="n">
        <v>0.85</v>
      </c>
      <c r="R66" s="6" t="s">
        <v>354</v>
      </c>
      <c r="S66" s="7" t="s">
        <v>138</v>
      </c>
    </row>
    <row r="67" customFormat="false" ht="23.85" hidden="false" customHeight="false" outlineLevel="0" collapsed="false">
      <c r="A67" s="5" t="s">
        <v>10</v>
      </c>
      <c r="B67" s="5" t="s">
        <v>72</v>
      </c>
      <c r="C67" s="5" t="n">
        <v>1</v>
      </c>
      <c r="D67" s="6" t="s">
        <v>74</v>
      </c>
      <c r="E67" s="5" t="s">
        <v>260</v>
      </c>
      <c r="F67" s="5" t="s">
        <v>355</v>
      </c>
      <c r="G67" s="6" t="s">
        <v>356</v>
      </c>
      <c r="H67" s="6" t="s">
        <v>357</v>
      </c>
      <c r="I67" s="5" t="s">
        <v>183</v>
      </c>
      <c r="J67" s="11" t="n">
        <v>46289</v>
      </c>
      <c r="K67" s="5" t="s">
        <v>12</v>
      </c>
      <c r="L67" s="15" t="s">
        <v>132</v>
      </c>
      <c r="M67" s="5" t="s">
        <v>133</v>
      </c>
      <c r="N67" s="5" t="s">
        <v>134</v>
      </c>
      <c r="O67" s="15" t="s">
        <v>135</v>
      </c>
      <c r="P67" s="5" t="s">
        <v>136</v>
      </c>
      <c r="Q67" s="12" t="n">
        <v>0.8</v>
      </c>
      <c r="R67" s="6" t="s">
        <v>358</v>
      </c>
      <c r="S67" s="7" t="s">
        <v>138</v>
      </c>
    </row>
    <row r="68" customFormat="false" ht="23.85" hidden="false" customHeight="false" outlineLevel="0" collapsed="false">
      <c r="A68" s="5" t="s">
        <v>10</v>
      </c>
      <c r="B68" s="5" t="s">
        <v>72</v>
      </c>
      <c r="C68" s="5" t="n">
        <v>1</v>
      </c>
      <c r="D68" s="6" t="s">
        <v>74</v>
      </c>
      <c r="E68" s="5" t="s">
        <v>217</v>
      </c>
      <c r="F68" s="5" t="s">
        <v>359</v>
      </c>
      <c r="G68" s="6" t="s">
        <v>360</v>
      </c>
      <c r="H68" s="6" t="s">
        <v>361</v>
      </c>
      <c r="I68" s="5" t="s">
        <v>221</v>
      </c>
      <c r="J68" s="11" t="n">
        <v>46289</v>
      </c>
      <c r="K68" s="5" t="s">
        <v>12</v>
      </c>
      <c r="L68" s="15" t="s">
        <v>132</v>
      </c>
      <c r="M68" s="5" t="s">
        <v>133</v>
      </c>
      <c r="N68" s="5" t="s">
        <v>134</v>
      </c>
      <c r="O68" s="15" t="s">
        <v>135</v>
      </c>
      <c r="P68" s="5" t="s">
        <v>135</v>
      </c>
      <c r="Q68" s="12" t="n">
        <v>0.8</v>
      </c>
      <c r="R68" s="6" t="s">
        <v>362</v>
      </c>
      <c r="S68" s="7" t="s">
        <v>138</v>
      </c>
    </row>
    <row r="69" customFormat="false" ht="23.85" hidden="false" customHeight="false" outlineLevel="0" collapsed="false">
      <c r="A69" s="5" t="s">
        <v>10</v>
      </c>
      <c r="B69" s="5" t="s">
        <v>72</v>
      </c>
      <c r="C69" s="5" t="n">
        <v>1</v>
      </c>
      <c r="D69" s="6" t="s">
        <v>74</v>
      </c>
      <c r="E69" s="5" t="s">
        <v>312</v>
      </c>
      <c r="F69" s="5" t="s">
        <v>363</v>
      </c>
      <c r="G69" s="6" t="s">
        <v>364</v>
      </c>
      <c r="H69" s="6" t="s">
        <v>365</v>
      </c>
      <c r="I69" s="5" t="s">
        <v>294</v>
      </c>
      <c r="J69" s="11" t="n">
        <v>46289</v>
      </c>
      <c r="K69" s="5" t="s">
        <v>12</v>
      </c>
      <c r="L69" s="15" t="s">
        <v>132</v>
      </c>
      <c r="M69" s="5" t="s">
        <v>133</v>
      </c>
      <c r="N69" s="5" t="s">
        <v>134</v>
      </c>
      <c r="O69" s="15" t="s">
        <v>135</v>
      </c>
      <c r="P69" s="5" t="s">
        <v>136</v>
      </c>
      <c r="Q69" s="12" t="n">
        <v>0.9</v>
      </c>
      <c r="R69" s="6" t="s">
        <v>366</v>
      </c>
      <c r="S69" s="7" t="s">
        <v>138</v>
      </c>
    </row>
    <row r="70" customFormat="false" ht="23.85" hidden="false" customHeight="false" outlineLevel="0" collapsed="false">
      <c r="A70" s="5" t="s">
        <v>10</v>
      </c>
      <c r="B70" s="5" t="s">
        <v>72</v>
      </c>
      <c r="C70" s="5" t="n">
        <v>1</v>
      </c>
      <c r="D70" s="6" t="s">
        <v>74</v>
      </c>
      <c r="E70" s="5" t="s">
        <v>299</v>
      </c>
      <c r="F70" s="5" t="s">
        <v>367</v>
      </c>
      <c r="G70" s="6" t="s">
        <v>368</v>
      </c>
      <c r="H70" s="6" t="s">
        <v>369</v>
      </c>
      <c r="I70" s="5" t="s">
        <v>294</v>
      </c>
      <c r="J70" s="11" t="n">
        <v>46289</v>
      </c>
      <c r="K70" s="5" t="s">
        <v>12</v>
      </c>
      <c r="L70" s="15" t="s">
        <v>132</v>
      </c>
      <c r="M70" s="5" t="s">
        <v>133</v>
      </c>
      <c r="N70" s="5" t="s">
        <v>134</v>
      </c>
      <c r="O70" s="15" t="s">
        <v>135</v>
      </c>
      <c r="P70" s="5" t="s">
        <v>136</v>
      </c>
      <c r="Q70" s="12" t="n">
        <v>0.85</v>
      </c>
      <c r="R70" s="6" t="s">
        <v>370</v>
      </c>
      <c r="S70" s="7" t="s">
        <v>138</v>
      </c>
    </row>
    <row r="71" customFormat="false" ht="23.85" hidden="false" customHeight="false" outlineLevel="0" collapsed="false">
      <c r="A71" s="5" t="s">
        <v>10</v>
      </c>
      <c r="B71" s="5" t="s">
        <v>72</v>
      </c>
      <c r="C71" s="5" t="n">
        <v>1</v>
      </c>
      <c r="D71" s="6" t="s">
        <v>74</v>
      </c>
      <c r="E71" s="5" t="s">
        <v>371</v>
      </c>
      <c r="F71" s="5" t="s">
        <v>372</v>
      </c>
      <c r="G71" s="6" t="s">
        <v>373</v>
      </c>
      <c r="H71" s="6" t="s">
        <v>374</v>
      </c>
      <c r="I71" s="5" t="s">
        <v>131</v>
      </c>
      <c r="J71" s="11" t="n">
        <v>46289</v>
      </c>
      <c r="K71" s="5" t="s">
        <v>12</v>
      </c>
      <c r="L71" s="15" t="s">
        <v>132</v>
      </c>
      <c r="M71" s="5" t="s">
        <v>133</v>
      </c>
      <c r="N71" s="5" t="s">
        <v>134</v>
      </c>
      <c r="O71" s="15" t="s">
        <v>135</v>
      </c>
      <c r="P71" s="5" t="s">
        <v>136</v>
      </c>
      <c r="Q71" s="12" t="n">
        <v>0.8</v>
      </c>
      <c r="R71" s="6" t="s">
        <v>375</v>
      </c>
      <c r="S71" s="7" t="s">
        <v>138</v>
      </c>
    </row>
    <row r="72" customFormat="false" ht="23.85" hidden="false" customHeight="false" outlineLevel="0" collapsed="false">
      <c r="A72" s="5" t="s">
        <v>10</v>
      </c>
      <c r="B72" s="5" t="s">
        <v>72</v>
      </c>
      <c r="C72" s="5" t="n">
        <v>1</v>
      </c>
      <c r="D72" s="6" t="s">
        <v>74</v>
      </c>
      <c r="E72" s="5" t="s">
        <v>319</v>
      </c>
      <c r="F72" s="5" t="s">
        <v>376</v>
      </c>
      <c r="G72" s="6" t="s">
        <v>377</v>
      </c>
      <c r="H72" s="6" t="s">
        <v>378</v>
      </c>
      <c r="I72" s="5" t="s">
        <v>294</v>
      </c>
      <c r="J72" s="11" t="n">
        <v>46289</v>
      </c>
      <c r="K72" s="5" t="s">
        <v>12</v>
      </c>
      <c r="L72" s="15" t="s">
        <v>132</v>
      </c>
      <c r="M72" s="5" t="s">
        <v>133</v>
      </c>
      <c r="N72" s="5" t="s">
        <v>134</v>
      </c>
      <c r="O72" s="15" t="s">
        <v>135</v>
      </c>
      <c r="P72" s="5" t="s">
        <v>379</v>
      </c>
      <c r="Q72" s="12" t="n">
        <v>0.85</v>
      </c>
      <c r="R72" s="6" t="s">
        <v>380</v>
      </c>
      <c r="S72" s="7" t="s">
        <v>138</v>
      </c>
    </row>
    <row r="73" customFormat="false" ht="15" hidden="false" customHeight="false" outlineLevel="0" collapsed="false">
      <c r="A73" s="5" t="s">
        <v>10</v>
      </c>
      <c r="B73" s="5" t="s">
        <v>72</v>
      </c>
      <c r="C73" s="5" t="n">
        <v>1</v>
      </c>
      <c r="D73" s="6" t="s">
        <v>74</v>
      </c>
      <c r="E73" s="5" t="s">
        <v>232</v>
      </c>
      <c r="F73" s="5" t="s">
        <v>381</v>
      </c>
      <c r="G73" s="6" t="s">
        <v>382</v>
      </c>
      <c r="H73" s="6" t="s">
        <v>383</v>
      </c>
      <c r="I73" s="5" t="s">
        <v>221</v>
      </c>
      <c r="J73" s="11" t="n">
        <v>46302</v>
      </c>
      <c r="K73" s="5" t="s">
        <v>12</v>
      </c>
      <c r="L73" s="15" t="s">
        <v>132</v>
      </c>
      <c r="M73" s="5" t="s">
        <v>133</v>
      </c>
      <c r="N73" s="5" t="s">
        <v>134</v>
      </c>
      <c r="O73" s="15" t="s">
        <v>135</v>
      </c>
      <c r="P73" s="5" t="s">
        <v>135</v>
      </c>
      <c r="Q73" s="12" t="n">
        <v>0.7</v>
      </c>
      <c r="R73" s="6" t="s">
        <v>157</v>
      </c>
      <c r="S73" s="7" t="s">
        <v>138</v>
      </c>
    </row>
    <row r="74" customFormat="false" ht="23.85" hidden="false" customHeight="false" outlineLevel="0" collapsed="false">
      <c r="A74" s="5" t="s">
        <v>10</v>
      </c>
      <c r="B74" s="5" t="s">
        <v>72</v>
      </c>
      <c r="C74" s="5" t="n">
        <v>1</v>
      </c>
      <c r="D74" s="6" t="s">
        <v>74</v>
      </c>
      <c r="E74" s="5" t="s">
        <v>319</v>
      </c>
      <c r="F74" s="5" t="s">
        <v>384</v>
      </c>
      <c r="G74" s="6" t="s">
        <v>385</v>
      </c>
      <c r="H74" s="6" t="s">
        <v>386</v>
      </c>
      <c r="I74" s="5" t="s">
        <v>294</v>
      </c>
      <c r="J74" s="11" t="n">
        <v>46302</v>
      </c>
      <c r="K74" s="5" t="s">
        <v>12</v>
      </c>
      <c r="L74" s="15" t="s">
        <v>132</v>
      </c>
      <c r="M74" s="5" t="s">
        <v>133</v>
      </c>
      <c r="N74" s="5" t="s">
        <v>134</v>
      </c>
      <c r="O74" s="15" t="s">
        <v>135</v>
      </c>
      <c r="P74" s="5" t="s">
        <v>135</v>
      </c>
      <c r="Q74" s="12" t="n">
        <v>0.7</v>
      </c>
      <c r="R74" s="6" t="s">
        <v>387</v>
      </c>
      <c r="S74" s="7" t="s">
        <v>138</v>
      </c>
    </row>
    <row r="75" customFormat="false" ht="68.65" hidden="false" customHeight="false" outlineLevel="0" collapsed="false">
      <c r="A75" s="5" t="s">
        <v>10</v>
      </c>
      <c r="B75" s="5" t="s">
        <v>72</v>
      </c>
      <c r="C75" s="5" t="n">
        <v>1</v>
      </c>
      <c r="D75" s="6" t="s">
        <v>74</v>
      </c>
      <c r="E75" s="5" t="s">
        <v>127</v>
      </c>
      <c r="F75" s="5" t="s">
        <v>388</v>
      </c>
      <c r="G75" s="6" t="s">
        <v>389</v>
      </c>
      <c r="H75" s="6" t="s">
        <v>390</v>
      </c>
      <c r="I75" s="5" t="s">
        <v>131</v>
      </c>
      <c r="J75" s="11" t="n">
        <v>46296</v>
      </c>
      <c r="K75" s="5" t="s">
        <v>12</v>
      </c>
      <c r="L75" s="15" t="s">
        <v>132</v>
      </c>
      <c r="M75" s="5" t="s">
        <v>133</v>
      </c>
      <c r="N75" s="5" t="s">
        <v>134</v>
      </c>
      <c r="O75" s="16" t="s">
        <v>391</v>
      </c>
      <c r="P75" s="5" t="s">
        <v>136</v>
      </c>
      <c r="Q75" s="12" t="n">
        <v>0.85</v>
      </c>
      <c r="R75" s="6" t="s">
        <v>392</v>
      </c>
      <c r="S75" s="7" t="s">
        <v>138</v>
      </c>
    </row>
    <row r="76" customFormat="false" ht="46.25" hidden="false" customHeight="false" outlineLevel="0" collapsed="false">
      <c r="A76" s="5" t="s">
        <v>10</v>
      </c>
      <c r="B76" s="5" t="s">
        <v>72</v>
      </c>
      <c r="C76" s="5" t="n">
        <v>1</v>
      </c>
      <c r="D76" s="6" t="s">
        <v>74</v>
      </c>
      <c r="E76" s="5" t="s">
        <v>164</v>
      </c>
      <c r="F76" s="5" t="s">
        <v>393</v>
      </c>
      <c r="G76" s="6" t="s">
        <v>394</v>
      </c>
      <c r="H76" s="6" t="s">
        <v>395</v>
      </c>
      <c r="I76" s="5" t="s">
        <v>168</v>
      </c>
      <c r="J76" s="11" t="n">
        <v>46296</v>
      </c>
      <c r="K76" s="5" t="s">
        <v>12</v>
      </c>
      <c r="L76" s="15" t="s">
        <v>132</v>
      </c>
      <c r="M76" s="5" t="s">
        <v>133</v>
      </c>
      <c r="N76" s="5" t="s">
        <v>134</v>
      </c>
      <c r="O76" s="16" t="s">
        <v>391</v>
      </c>
      <c r="P76" s="5" t="s">
        <v>135</v>
      </c>
      <c r="Q76" s="12" t="n">
        <v>0.8</v>
      </c>
      <c r="R76" s="6" t="s">
        <v>396</v>
      </c>
      <c r="S76" s="7" t="s">
        <v>138</v>
      </c>
    </row>
    <row r="77" customFormat="false" ht="46.25" hidden="false" customHeight="false" outlineLevel="0" collapsed="false">
      <c r="A77" s="5" t="s">
        <v>10</v>
      </c>
      <c r="B77" s="5" t="s">
        <v>72</v>
      </c>
      <c r="C77" s="5" t="n">
        <v>1</v>
      </c>
      <c r="D77" s="6" t="s">
        <v>74</v>
      </c>
      <c r="E77" s="5" t="s">
        <v>164</v>
      </c>
      <c r="F77" s="5" t="s">
        <v>397</v>
      </c>
      <c r="G77" s="6" t="s">
        <v>398</v>
      </c>
      <c r="H77" s="6" t="s">
        <v>399</v>
      </c>
      <c r="I77" s="5" t="s">
        <v>168</v>
      </c>
      <c r="J77" s="11" t="n">
        <v>46296</v>
      </c>
      <c r="K77" s="5" t="s">
        <v>12</v>
      </c>
      <c r="L77" s="15" t="s">
        <v>132</v>
      </c>
      <c r="M77" s="5" t="s">
        <v>133</v>
      </c>
      <c r="N77" s="5" t="s">
        <v>134</v>
      </c>
      <c r="O77" s="16" t="s">
        <v>391</v>
      </c>
      <c r="P77" s="5" t="s">
        <v>135</v>
      </c>
      <c r="Q77" s="12" t="n">
        <v>0.8</v>
      </c>
      <c r="R77" s="6" t="s">
        <v>400</v>
      </c>
      <c r="S77" s="7" t="s">
        <v>138</v>
      </c>
    </row>
    <row r="78" customFormat="false" ht="15" hidden="false" customHeight="false" outlineLevel="0" collapsed="false">
      <c r="A78" s="5" t="s">
        <v>10</v>
      </c>
      <c r="B78" s="5" t="s">
        <v>72</v>
      </c>
      <c r="C78" s="5" t="n">
        <v>1</v>
      </c>
      <c r="D78" s="6" t="s">
        <v>74</v>
      </c>
      <c r="E78" s="5" t="s">
        <v>164</v>
      </c>
      <c r="F78" s="5" t="s">
        <v>401</v>
      </c>
      <c r="G78" s="6" t="s">
        <v>402</v>
      </c>
      <c r="H78" s="6" t="s">
        <v>403</v>
      </c>
      <c r="I78" s="5" t="s">
        <v>168</v>
      </c>
      <c r="J78" s="11" t="n">
        <v>46289</v>
      </c>
      <c r="K78" s="5" t="s">
        <v>12</v>
      </c>
      <c r="L78" s="15" t="s">
        <v>132</v>
      </c>
      <c r="M78" s="5" t="s">
        <v>133</v>
      </c>
      <c r="N78" s="5" t="s">
        <v>134</v>
      </c>
      <c r="O78" s="15" t="s">
        <v>135</v>
      </c>
      <c r="P78" s="5" t="s">
        <v>135</v>
      </c>
      <c r="Q78" s="12" t="n">
        <v>0.75</v>
      </c>
      <c r="R78" s="6" t="s">
        <v>404</v>
      </c>
      <c r="S78" s="7" t="s">
        <v>138</v>
      </c>
    </row>
    <row r="79" customFormat="false" ht="15" hidden="false" customHeight="false" outlineLevel="0" collapsed="false">
      <c r="A79" s="5" t="s">
        <v>10</v>
      </c>
      <c r="B79" s="5" t="s">
        <v>72</v>
      </c>
      <c r="C79" s="5" t="n">
        <v>1</v>
      </c>
      <c r="D79" s="6" t="s">
        <v>74</v>
      </c>
      <c r="E79" s="5" t="s">
        <v>164</v>
      </c>
      <c r="F79" s="5" t="s">
        <v>405</v>
      </c>
      <c r="G79" s="6" t="s">
        <v>406</v>
      </c>
      <c r="H79" s="6" t="s">
        <v>407</v>
      </c>
      <c r="I79" s="5" t="s">
        <v>168</v>
      </c>
      <c r="J79" s="11" t="n">
        <v>46289</v>
      </c>
      <c r="K79" s="5" t="s">
        <v>12</v>
      </c>
      <c r="L79" s="15" t="s">
        <v>132</v>
      </c>
      <c r="M79" s="5" t="s">
        <v>133</v>
      </c>
      <c r="N79" s="5" t="s">
        <v>134</v>
      </c>
      <c r="O79" s="15" t="s">
        <v>135</v>
      </c>
      <c r="P79" s="5" t="s">
        <v>135</v>
      </c>
      <c r="Q79" s="12" t="n">
        <v>0.8</v>
      </c>
      <c r="R79" s="6" t="s">
        <v>408</v>
      </c>
      <c r="S79" s="7" t="s">
        <v>138</v>
      </c>
    </row>
    <row r="80" customFormat="false" ht="23.85" hidden="false" customHeight="false" outlineLevel="0" collapsed="false">
      <c r="A80" s="5" t="s">
        <v>10</v>
      </c>
      <c r="B80" s="5" t="s">
        <v>72</v>
      </c>
      <c r="C80" s="5" t="n">
        <v>1</v>
      </c>
      <c r="D80" s="6" t="s">
        <v>74</v>
      </c>
      <c r="E80" s="5" t="s">
        <v>179</v>
      </c>
      <c r="F80" s="5" t="s">
        <v>409</v>
      </c>
      <c r="G80" s="6" t="s">
        <v>410</v>
      </c>
      <c r="H80" s="6" t="s">
        <v>411</v>
      </c>
      <c r="I80" s="5" t="s">
        <v>183</v>
      </c>
      <c r="J80" s="11" t="n">
        <v>46289</v>
      </c>
      <c r="K80" s="5" t="s">
        <v>12</v>
      </c>
      <c r="L80" s="15" t="s">
        <v>132</v>
      </c>
      <c r="M80" s="5" t="s">
        <v>133</v>
      </c>
      <c r="N80" s="5" t="s">
        <v>134</v>
      </c>
      <c r="O80" s="15" t="s">
        <v>135</v>
      </c>
      <c r="P80" s="5" t="s">
        <v>136</v>
      </c>
      <c r="Q80" s="12" t="n">
        <v>0.8</v>
      </c>
      <c r="R80" s="6" t="s">
        <v>412</v>
      </c>
      <c r="S80" s="7" t="s">
        <v>138</v>
      </c>
    </row>
    <row r="81" customFormat="false" ht="23.85" hidden="false" customHeight="false" outlineLevel="0" collapsed="false">
      <c r="A81" s="5" t="s">
        <v>10</v>
      </c>
      <c r="B81" s="5" t="s">
        <v>72</v>
      </c>
      <c r="C81" s="5" t="n">
        <v>1</v>
      </c>
      <c r="D81" s="6" t="s">
        <v>74</v>
      </c>
      <c r="E81" s="5" t="s">
        <v>252</v>
      </c>
      <c r="F81" s="5" t="s">
        <v>413</v>
      </c>
      <c r="G81" s="6" t="s">
        <v>414</v>
      </c>
      <c r="H81" s="6" t="s">
        <v>415</v>
      </c>
      <c r="I81" s="5" t="s">
        <v>221</v>
      </c>
      <c r="J81" s="11" t="n">
        <v>46289</v>
      </c>
      <c r="K81" s="5" t="s">
        <v>12</v>
      </c>
      <c r="L81" s="15" t="s">
        <v>132</v>
      </c>
      <c r="M81" s="5" t="s">
        <v>133</v>
      </c>
      <c r="N81" s="5" t="s">
        <v>134</v>
      </c>
      <c r="O81" s="15" t="s">
        <v>135</v>
      </c>
      <c r="P81" s="5" t="s">
        <v>136</v>
      </c>
      <c r="Q81" s="12" t="n">
        <v>0.8</v>
      </c>
      <c r="R81" s="6" t="s">
        <v>416</v>
      </c>
      <c r="S81" s="7" t="s">
        <v>138</v>
      </c>
    </row>
    <row r="82" customFormat="false" ht="15" hidden="false" customHeight="false" outlineLevel="0" collapsed="false">
      <c r="A82" s="5" t="s">
        <v>10</v>
      </c>
      <c r="B82" s="5" t="s">
        <v>72</v>
      </c>
      <c r="C82" s="5" t="n">
        <v>1</v>
      </c>
      <c r="D82" s="6" t="s">
        <v>74</v>
      </c>
      <c r="E82" s="5" t="s">
        <v>179</v>
      </c>
      <c r="F82" s="5" t="s">
        <v>417</v>
      </c>
      <c r="G82" s="6" t="s">
        <v>418</v>
      </c>
      <c r="H82" s="6" t="s">
        <v>419</v>
      </c>
      <c r="I82" s="5" t="s">
        <v>183</v>
      </c>
      <c r="J82" s="11" t="n">
        <v>46289</v>
      </c>
      <c r="K82" s="5" t="s">
        <v>12</v>
      </c>
      <c r="L82" s="15" t="s">
        <v>132</v>
      </c>
      <c r="M82" s="5" t="s">
        <v>133</v>
      </c>
      <c r="N82" s="5" t="s">
        <v>134</v>
      </c>
      <c r="O82" s="15" t="s">
        <v>135</v>
      </c>
      <c r="P82" s="5" t="s">
        <v>135</v>
      </c>
      <c r="Q82" s="12" t="n">
        <v>0.8</v>
      </c>
      <c r="R82" s="6" t="s">
        <v>420</v>
      </c>
      <c r="S82" s="7" t="s">
        <v>138</v>
      </c>
    </row>
    <row r="83" customFormat="false" ht="23.85" hidden="false" customHeight="false" outlineLevel="0" collapsed="false">
      <c r="A83" s="5" t="s">
        <v>10</v>
      </c>
      <c r="B83" s="5" t="s">
        <v>72</v>
      </c>
      <c r="C83" s="5" t="n">
        <v>1</v>
      </c>
      <c r="D83" s="6" t="s">
        <v>74</v>
      </c>
      <c r="E83" s="5" t="s">
        <v>179</v>
      </c>
      <c r="F83" s="5" t="s">
        <v>421</v>
      </c>
      <c r="G83" s="6" t="s">
        <v>422</v>
      </c>
      <c r="H83" s="6" t="s">
        <v>423</v>
      </c>
      <c r="I83" s="5" t="s">
        <v>183</v>
      </c>
      <c r="J83" s="11" t="n">
        <v>46289</v>
      </c>
      <c r="K83" s="5" t="s">
        <v>12</v>
      </c>
      <c r="L83" s="15" t="s">
        <v>132</v>
      </c>
      <c r="M83" s="5" t="s">
        <v>133</v>
      </c>
      <c r="N83" s="5" t="s">
        <v>134</v>
      </c>
      <c r="O83" s="15" t="s">
        <v>135</v>
      </c>
      <c r="P83" s="5" t="s">
        <v>135</v>
      </c>
      <c r="Q83" s="12" t="n">
        <v>0.85</v>
      </c>
      <c r="R83" s="6" t="s">
        <v>424</v>
      </c>
      <c r="S83" s="7" t="s">
        <v>138</v>
      </c>
    </row>
    <row r="84" customFormat="false" ht="23.85" hidden="false" customHeight="false" outlineLevel="0" collapsed="false">
      <c r="A84" s="5" t="s">
        <v>10</v>
      </c>
      <c r="B84" s="5" t="s">
        <v>72</v>
      </c>
      <c r="C84" s="5" t="n">
        <v>1</v>
      </c>
      <c r="D84" s="6" t="s">
        <v>74</v>
      </c>
      <c r="E84" s="5" t="s">
        <v>217</v>
      </c>
      <c r="F84" s="5" t="s">
        <v>425</v>
      </c>
      <c r="G84" s="6" t="s">
        <v>426</v>
      </c>
      <c r="H84" s="6" t="s">
        <v>427</v>
      </c>
      <c r="I84" s="5" t="s">
        <v>221</v>
      </c>
      <c r="J84" s="11" t="n">
        <v>46289</v>
      </c>
      <c r="K84" s="5" t="s">
        <v>12</v>
      </c>
      <c r="L84" s="15" t="s">
        <v>132</v>
      </c>
      <c r="M84" s="5" t="s">
        <v>133</v>
      </c>
      <c r="N84" s="5" t="s">
        <v>134</v>
      </c>
      <c r="O84" s="15" t="s">
        <v>135</v>
      </c>
      <c r="P84" s="5" t="s">
        <v>135</v>
      </c>
      <c r="Q84" s="12" t="n">
        <v>0.85</v>
      </c>
      <c r="R84" s="6" t="s">
        <v>428</v>
      </c>
      <c r="S84" s="7" t="s">
        <v>138</v>
      </c>
    </row>
    <row r="85" customFormat="false" ht="15" hidden="false" customHeight="false" outlineLevel="0" collapsed="false">
      <c r="A85" s="5" t="s">
        <v>10</v>
      </c>
      <c r="B85" s="5" t="s">
        <v>72</v>
      </c>
      <c r="C85" s="5" t="n">
        <v>1</v>
      </c>
      <c r="D85" s="6" t="s">
        <v>74</v>
      </c>
      <c r="E85" s="5" t="s">
        <v>217</v>
      </c>
      <c r="F85" s="5" t="s">
        <v>429</v>
      </c>
      <c r="G85" s="6" t="s">
        <v>430</v>
      </c>
      <c r="H85" s="6" t="s">
        <v>431</v>
      </c>
      <c r="I85" s="5" t="s">
        <v>221</v>
      </c>
      <c r="J85" s="11" t="n">
        <v>46289</v>
      </c>
      <c r="K85" s="5" t="s">
        <v>12</v>
      </c>
      <c r="L85" s="15" t="s">
        <v>132</v>
      </c>
      <c r="M85" s="5" t="s">
        <v>133</v>
      </c>
      <c r="N85" s="5" t="s">
        <v>134</v>
      </c>
      <c r="O85" s="15" t="s">
        <v>135</v>
      </c>
      <c r="P85" s="5" t="s">
        <v>135</v>
      </c>
      <c r="Q85" s="12" t="n">
        <v>0.85</v>
      </c>
      <c r="R85" s="6" t="s">
        <v>432</v>
      </c>
      <c r="S85" s="7" t="s">
        <v>138</v>
      </c>
    </row>
    <row r="86" customFormat="false" ht="15" hidden="false" customHeight="false" outlineLevel="0" collapsed="false">
      <c r="A86" s="5" t="s">
        <v>10</v>
      </c>
      <c r="B86" s="5" t="s">
        <v>72</v>
      </c>
      <c r="C86" s="5" t="n">
        <v>1</v>
      </c>
      <c r="D86" s="6" t="s">
        <v>74</v>
      </c>
      <c r="E86" s="5" t="s">
        <v>217</v>
      </c>
      <c r="F86" s="5" t="s">
        <v>433</v>
      </c>
      <c r="G86" s="6" t="s">
        <v>434</v>
      </c>
      <c r="H86" s="6" t="s">
        <v>435</v>
      </c>
      <c r="I86" s="5" t="s">
        <v>221</v>
      </c>
      <c r="J86" s="11" t="n">
        <v>46289</v>
      </c>
      <c r="K86" s="5" t="s">
        <v>12</v>
      </c>
      <c r="L86" s="15" t="s">
        <v>132</v>
      </c>
      <c r="M86" s="5" t="s">
        <v>133</v>
      </c>
      <c r="N86" s="5" t="s">
        <v>134</v>
      </c>
      <c r="O86" s="15" t="s">
        <v>135</v>
      </c>
      <c r="P86" s="5" t="s">
        <v>135</v>
      </c>
      <c r="Q86" s="12" t="n">
        <v>0.85</v>
      </c>
      <c r="R86" s="6" t="s">
        <v>436</v>
      </c>
      <c r="S86" s="7" t="s">
        <v>138</v>
      </c>
    </row>
    <row r="87" customFormat="false" ht="46.25" hidden="false" customHeight="false" outlineLevel="0" collapsed="false">
      <c r="A87" s="5" t="s">
        <v>10</v>
      </c>
      <c r="B87" s="5" t="s">
        <v>72</v>
      </c>
      <c r="C87" s="5" t="n">
        <v>1</v>
      </c>
      <c r="D87" s="6" t="s">
        <v>74</v>
      </c>
      <c r="E87" s="5" t="s">
        <v>299</v>
      </c>
      <c r="F87" s="5" t="s">
        <v>437</v>
      </c>
      <c r="G87" s="6" t="s">
        <v>438</v>
      </c>
      <c r="H87" s="6" t="s">
        <v>439</v>
      </c>
      <c r="I87" s="5" t="s">
        <v>294</v>
      </c>
      <c r="J87" s="11" t="n">
        <v>46290</v>
      </c>
      <c r="K87" s="5" t="s">
        <v>12</v>
      </c>
      <c r="L87" s="15" t="s">
        <v>132</v>
      </c>
      <c r="M87" s="5" t="s">
        <v>133</v>
      </c>
      <c r="N87" s="5" t="s">
        <v>134</v>
      </c>
      <c r="O87" s="15" t="s">
        <v>135</v>
      </c>
      <c r="P87" s="5" t="s">
        <v>135</v>
      </c>
      <c r="Q87" s="12" t="n">
        <v>0.85</v>
      </c>
      <c r="R87" s="6" t="s">
        <v>440</v>
      </c>
      <c r="S87" s="7" t="s">
        <v>138</v>
      </c>
    </row>
    <row r="88" customFormat="false" ht="15" hidden="false" customHeight="false" outlineLevel="0" collapsed="false">
      <c r="A88" s="5" t="s">
        <v>10</v>
      </c>
      <c r="B88" s="5" t="s">
        <v>72</v>
      </c>
      <c r="C88" s="5" t="n">
        <v>1</v>
      </c>
      <c r="D88" s="6" t="s">
        <v>74</v>
      </c>
      <c r="E88" s="5" t="s">
        <v>127</v>
      </c>
      <c r="F88" s="5" t="s">
        <v>441</v>
      </c>
      <c r="G88" s="6" t="s">
        <v>442</v>
      </c>
      <c r="H88" s="6" t="s">
        <v>443</v>
      </c>
      <c r="I88" s="5" t="s">
        <v>131</v>
      </c>
      <c r="J88" s="11" t="n">
        <v>46289</v>
      </c>
      <c r="K88" s="5" t="s">
        <v>12</v>
      </c>
      <c r="L88" s="15" t="s">
        <v>132</v>
      </c>
      <c r="M88" s="5" t="s">
        <v>133</v>
      </c>
      <c r="N88" s="5" t="s">
        <v>134</v>
      </c>
      <c r="O88" s="15" t="s">
        <v>135</v>
      </c>
      <c r="P88" s="5" t="s">
        <v>135</v>
      </c>
      <c r="Q88" s="12" t="n">
        <v>0.85</v>
      </c>
      <c r="R88" s="6" t="s">
        <v>444</v>
      </c>
      <c r="S88" s="7" t="s">
        <v>138</v>
      </c>
    </row>
    <row r="89" customFormat="false" ht="23.85" hidden="false" customHeight="false" outlineLevel="0" collapsed="false">
      <c r="A89" s="5" t="s">
        <v>10</v>
      </c>
      <c r="B89" s="5" t="s">
        <v>72</v>
      </c>
      <c r="C89" s="5" t="n">
        <v>1</v>
      </c>
      <c r="D89" s="6" t="s">
        <v>74</v>
      </c>
      <c r="E89" s="5" t="s">
        <v>146</v>
      </c>
      <c r="F89" s="5" t="s">
        <v>445</v>
      </c>
      <c r="G89" s="6" t="s">
        <v>446</v>
      </c>
      <c r="H89" s="6" t="s">
        <v>447</v>
      </c>
      <c r="I89" s="5" t="s">
        <v>150</v>
      </c>
      <c r="J89" s="11" t="n">
        <v>46292</v>
      </c>
      <c r="K89" s="5" t="s">
        <v>12</v>
      </c>
      <c r="L89" s="15" t="s">
        <v>132</v>
      </c>
      <c r="M89" s="5" t="s">
        <v>133</v>
      </c>
      <c r="N89" s="5" t="s">
        <v>134</v>
      </c>
      <c r="O89" s="16" t="s">
        <v>391</v>
      </c>
      <c r="P89" s="5" t="s">
        <v>135</v>
      </c>
      <c r="Q89" s="12" t="n">
        <v>0.8</v>
      </c>
      <c r="R89" s="6" t="s">
        <v>448</v>
      </c>
      <c r="S89" s="7" t="s">
        <v>138</v>
      </c>
    </row>
    <row r="90" customFormat="false" ht="23.85" hidden="false" customHeight="false" outlineLevel="0" collapsed="false">
      <c r="A90" s="5" t="s">
        <v>10</v>
      </c>
      <c r="B90" s="5" t="s">
        <v>72</v>
      </c>
      <c r="C90" s="5" t="n">
        <v>1</v>
      </c>
      <c r="D90" s="6" t="s">
        <v>74</v>
      </c>
      <c r="E90" s="5" t="s">
        <v>127</v>
      </c>
      <c r="F90" s="5" t="s">
        <v>449</v>
      </c>
      <c r="G90" s="6" t="s">
        <v>450</v>
      </c>
      <c r="H90" s="6" t="s">
        <v>451</v>
      </c>
      <c r="I90" s="5" t="s">
        <v>131</v>
      </c>
      <c r="J90" s="11" t="n">
        <v>46289</v>
      </c>
      <c r="K90" s="5" t="s">
        <v>12</v>
      </c>
      <c r="L90" s="15" t="s">
        <v>132</v>
      </c>
      <c r="M90" s="5" t="s">
        <v>133</v>
      </c>
      <c r="N90" s="5" t="s">
        <v>134</v>
      </c>
      <c r="O90" s="15" t="s">
        <v>135</v>
      </c>
      <c r="P90" s="5" t="s">
        <v>136</v>
      </c>
      <c r="Q90" s="12" t="n">
        <v>0.85</v>
      </c>
      <c r="R90" s="6" t="s">
        <v>452</v>
      </c>
      <c r="S90" s="7" t="s">
        <v>138</v>
      </c>
    </row>
    <row r="91" customFormat="false" ht="46.25" hidden="false" customHeight="false" outlineLevel="0" collapsed="false">
      <c r="A91" s="5" t="s">
        <v>10</v>
      </c>
      <c r="B91" s="5" t="s">
        <v>72</v>
      </c>
      <c r="C91" s="5" t="n">
        <v>2</v>
      </c>
      <c r="D91" s="6" t="s">
        <v>75</v>
      </c>
      <c r="E91" s="5" t="s">
        <v>299</v>
      </c>
      <c r="F91" s="5" t="s">
        <v>453</v>
      </c>
      <c r="G91" s="6" t="s">
        <v>454</v>
      </c>
      <c r="H91" s="6" t="s">
        <v>455</v>
      </c>
      <c r="I91" s="5" t="s">
        <v>294</v>
      </c>
      <c r="J91" s="11" t="n">
        <v>46290</v>
      </c>
      <c r="K91" s="5" t="s">
        <v>12</v>
      </c>
      <c r="L91" s="15" t="s">
        <v>132</v>
      </c>
      <c r="M91" s="5" t="s">
        <v>133</v>
      </c>
      <c r="N91" s="5" t="s">
        <v>134</v>
      </c>
      <c r="O91" s="15" t="s">
        <v>135</v>
      </c>
      <c r="P91" s="5" t="s">
        <v>135</v>
      </c>
      <c r="Q91" s="12" t="n">
        <v>0.8</v>
      </c>
      <c r="R91" s="6" t="s">
        <v>456</v>
      </c>
      <c r="S91" s="7" t="s">
        <v>138</v>
      </c>
    </row>
    <row r="92" customFormat="false" ht="46.25" hidden="false" customHeight="false" outlineLevel="0" collapsed="false">
      <c r="A92" s="5" t="s">
        <v>10</v>
      </c>
      <c r="B92" s="5" t="s">
        <v>72</v>
      </c>
      <c r="C92" s="5" t="n">
        <v>2</v>
      </c>
      <c r="D92" s="6" t="s">
        <v>75</v>
      </c>
      <c r="E92" s="5" t="s">
        <v>127</v>
      </c>
      <c r="F92" s="5" t="s">
        <v>457</v>
      </c>
      <c r="G92" s="6" t="s">
        <v>458</v>
      </c>
      <c r="H92" s="6" t="s">
        <v>459</v>
      </c>
      <c r="I92" s="5" t="s">
        <v>131</v>
      </c>
      <c r="J92" s="11" t="n">
        <v>46296</v>
      </c>
      <c r="K92" s="5" t="s">
        <v>12</v>
      </c>
      <c r="L92" s="15" t="s">
        <v>132</v>
      </c>
      <c r="M92" s="5" t="s">
        <v>133</v>
      </c>
      <c r="N92" s="5" t="s">
        <v>134</v>
      </c>
      <c r="O92" s="16" t="s">
        <v>391</v>
      </c>
      <c r="P92" s="5" t="s">
        <v>136</v>
      </c>
      <c r="Q92" s="12" t="n">
        <v>0.8</v>
      </c>
      <c r="R92" s="6" t="s">
        <v>460</v>
      </c>
      <c r="S92" s="7" t="s">
        <v>138</v>
      </c>
    </row>
    <row r="93" customFormat="false" ht="23.85" hidden="false" customHeight="false" outlineLevel="0" collapsed="false">
      <c r="A93" s="5" t="s">
        <v>10</v>
      </c>
      <c r="B93" s="5" t="s">
        <v>72</v>
      </c>
      <c r="C93" s="5" t="n">
        <v>2</v>
      </c>
      <c r="D93" s="6" t="s">
        <v>75</v>
      </c>
      <c r="E93" s="5" t="s">
        <v>127</v>
      </c>
      <c r="F93" s="5" t="s">
        <v>461</v>
      </c>
      <c r="G93" s="6" t="s">
        <v>462</v>
      </c>
      <c r="H93" s="6" t="s">
        <v>463</v>
      </c>
      <c r="I93" s="5" t="s">
        <v>131</v>
      </c>
      <c r="J93" s="11" t="n">
        <v>46292</v>
      </c>
      <c r="K93" s="5" t="s">
        <v>12</v>
      </c>
      <c r="L93" s="15" t="s">
        <v>132</v>
      </c>
      <c r="M93" s="5" t="s">
        <v>133</v>
      </c>
      <c r="N93" s="5" t="s">
        <v>134</v>
      </c>
      <c r="O93" s="16" t="s">
        <v>391</v>
      </c>
      <c r="P93" s="5" t="s">
        <v>136</v>
      </c>
      <c r="Q93" s="12" t="n">
        <v>0.85</v>
      </c>
      <c r="R93" s="6" t="s">
        <v>464</v>
      </c>
      <c r="S93" s="7" t="s">
        <v>138</v>
      </c>
    </row>
    <row r="94" customFormat="false" ht="23.85" hidden="false" customHeight="false" outlineLevel="0" collapsed="false">
      <c r="A94" s="5" t="s">
        <v>10</v>
      </c>
      <c r="B94" s="5" t="s">
        <v>72</v>
      </c>
      <c r="C94" s="5" t="n">
        <v>2</v>
      </c>
      <c r="D94" s="6" t="s">
        <v>75</v>
      </c>
      <c r="E94" s="5" t="s">
        <v>146</v>
      </c>
      <c r="F94" s="5" t="s">
        <v>465</v>
      </c>
      <c r="G94" s="6" t="s">
        <v>466</v>
      </c>
      <c r="H94" s="6" t="s">
        <v>467</v>
      </c>
      <c r="I94" s="5" t="s">
        <v>150</v>
      </c>
      <c r="J94" s="11" t="n">
        <v>46292</v>
      </c>
      <c r="K94" s="5" t="s">
        <v>12</v>
      </c>
      <c r="L94" s="15" t="s">
        <v>132</v>
      </c>
      <c r="M94" s="5" t="s">
        <v>133</v>
      </c>
      <c r="N94" s="5" t="s">
        <v>134</v>
      </c>
      <c r="O94" s="16" t="s">
        <v>391</v>
      </c>
      <c r="P94" s="5" t="s">
        <v>135</v>
      </c>
      <c r="Q94" s="12" t="n">
        <v>0.8</v>
      </c>
      <c r="R94" s="6" t="s">
        <v>468</v>
      </c>
      <c r="S94" s="7" t="s">
        <v>138</v>
      </c>
    </row>
    <row r="95" customFormat="false" ht="23.85" hidden="false" customHeight="false" outlineLevel="0" collapsed="false">
      <c r="A95" s="5" t="s">
        <v>10</v>
      </c>
      <c r="B95" s="5" t="s">
        <v>72</v>
      </c>
      <c r="C95" s="5" t="n">
        <v>2</v>
      </c>
      <c r="D95" s="6" t="s">
        <v>75</v>
      </c>
      <c r="E95" s="5" t="s">
        <v>164</v>
      </c>
      <c r="F95" s="5" t="s">
        <v>469</v>
      </c>
      <c r="G95" s="6" t="s">
        <v>470</v>
      </c>
      <c r="H95" s="6" t="s">
        <v>471</v>
      </c>
      <c r="I95" s="5" t="s">
        <v>168</v>
      </c>
      <c r="J95" s="11" t="n">
        <v>46289</v>
      </c>
      <c r="K95" s="5" t="s">
        <v>12</v>
      </c>
      <c r="L95" s="15" t="s">
        <v>132</v>
      </c>
      <c r="M95" s="5" t="s">
        <v>133</v>
      </c>
      <c r="N95" s="5" t="s">
        <v>134</v>
      </c>
      <c r="O95" s="15" t="s">
        <v>135</v>
      </c>
      <c r="P95" s="5" t="s">
        <v>135</v>
      </c>
      <c r="Q95" s="12" t="n">
        <v>0.75</v>
      </c>
      <c r="R95" s="6" t="s">
        <v>472</v>
      </c>
      <c r="S95" s="7" t="s">
        <v>138</v>
      </c>
    </row>
    <row r="96" customFormat="false" ht="23.85" hidden="false" customHeight="false" outlineLevel="0" collapsed="false">
      <c r="A96" s="5" t="s">
        <v>10</v>
      </c>
      <c r="B96" s="5" t="s">
        <v>72</v>
      </c>
      <c r="C96" s="5" t="n">
        <v>2</v>
      </c>
      <c r="D96" s="6" t="s">
        <v>75</v>
      </c>
      <c r="E96" s="5" t="s">
        <v>146</v>
      </c>
      <c r="F96" s="5" t="s">
        <v>473</v>
      </c>
      <c r="G96" s="6" t="s">
        <v>474</v>
      </c>
      <c r="H96" s="6" t="s">
        <v>475</v>
      </c>
      <c r="I96" s="5" t="s">
        <v>150</v>
      </c>
      <c r="J96" s="11" t="n">
        <v>46292</v>
      </c>
      <c r="K96" s="5" t="s">
        <v>12</v>
      </c>
      <c r="L96" s="15" t="s">
        <v>132</v>
      </c>
      <c r="M96" s="5" t="s">
        <v>133</v>
      </c>
      <c r="N96" s="5" t="s">
        <v>134</v>
      </c>
      <c r="O96" s="16" t="s">
        <v>391</v>
      </c>
      <c r="P96" s="5" t="s">
        <v>135</v>
      </c>
      <c r="Q96" s="12" t="n">
        <v>0.8</v>
      </c>
      <c r="R96" s="6" t="s">
        <v>476</v>
      </c>
      <c r="S96" s="7" t="s">
        <v>138</v>
      </c>
    </row>
    <row r="97" customFormat="false" ht="23.85" hidden="false" customHeight="false" outlineLevel="0" collapsed="false">
      <c r="A97" s="5" t="s">
        <v>10</v>
      </c>
      <c r="B97" s="5" t="s">
        <v>72</v>
      </c>
      <c r="C97" s="5" t="n">
        <v>2</v>
      </c>
      <c r="D97" s="6" t="s">
        <v>75</v>
      </c>
      <c r="E97" s="5" t="s">
        <v>146</v>
      </c>
      <c r="F97" s="5" t="s">
        <v>477</v>
      </c>
      <c r="G97" s="6" t="s">
        <v>478</v>
      </c>
      <c r="H97" s="6" t="s">
        <v>479</v>
      </c>
      <c r="I97" s="5" t="s">
        <v>150</v>
      </c>
      <c r="J97" s="11" t="n">
        <v>46292</v>
      </c>
      <c r="K97" s="5" t="s">
        <v>12</v>
      </c>
      <c r="L97" s="15" t="s">
        <v>132</v>
      </c>
      <c r="M97" s="5" t="s">
        <v>133</v>
      </c>
      <c r="N97" s="5" t="s">
        <v>134</v>
      </c>
      <c r="O97" s="16" t="s">
        <v>391</v>
      </c>
      <c r="P97" s="5" t="s">
        <v>135</v>
      </c>
      <c r="Q97" s="12" t="n">
        <v>0.8</v>
      </c>
      <c r="R97" s="6" t="s">
        <v>476</v>
      </c>
      <c r="S97" s="7" t="s">
        <v>138</v>
      </c>
    </row>
    <row r="98" customFormat="false" ht="23.85" hidden="false" customHeight="false" outlineLevel="0" collapsed="false">
      <c r="A98" s="5" t="s">
        <v>10</v>
      </c>
      <c r="B98" s="5" t="s">
        <v>72</v>
      </c>
      <c r="C98" s="5" t="n">
        <v>2</v>
      </c>
      <c r="D98" s="6" t="s">
        <v>75</v>
      </c>
      <c r="E98" s="5" t="s">
        <v>146</v>
      </c>
      <c r="F98" s="5" t="s">
        <v>480</v>
      </c>
      <c r="G98" s="6" t="s">
        <v>481</v>
      </c>
      <c r="H98" s="6" t="s">
        <v>482</v>
      </c>
      <c r="I98" s="5" t="s">
        <v>150</v>
      </c>
      <c r="J98" s="11" t="n">
        <v>46292</v>
      </c>
      <c r="K98" s="5" t="s">
        <v>12</v>
      </c>
      <c r="L98" s="15" t="s">
        <v>132</v>
      </c>
      <c r="M98" s="5" t="s">
        <v>133</v>
      </c>
      <c r="N98" s="5" t="s">
        <v>134</v>
      </c>
      <c r="O98" s="16" t="s">
        <v>391</v>
      </c>
      <c r="P98" s="5" t="s">
        <v>135</v>
      </c>
      <c r="Q98" s="12" t="n">
        <v>0.7</v>
      </c>
      <c r="R98" s="6" t="s">
        <v>483</v>
      </c>
      <c r="S98" s="7" t="s">
        <v>138</v>
      </c>
    </row>
    <row r="99" customFormat="false" ht="23.85" hidden="false" customHeight="false" outlineLevel="0" collapsed="false">
      <c r="A99" s="5" t="s">
        <v>10</v>
      </c>
      <c r="B99" s="5" t="s">
        <v>72</v>
      </c>
      <c r="C99" s="5" t="n">
        <v>2</v>
      </c>
      <c r="D99" s="6" t="s">
        <v>75</v>
      </c>
      <c r="E99" s="5" t="s">
        <v>164</v>
      </c>
      <c r="F99" s="5" t="s">
        <v>484</v>
      </c>
      <c r="G99" s="6" t="s">
        <v>485</v>
      </c>
      <c r="H99" s="6" t="s">
        <v>486</v>
      </c>
      <c r="I99" s="5" t="s">
        <v>168</v>
      </c>
      <c r="J99" s="11" t="n">
        <v>46292</v>
      </c>
      <c r="K99" s="5" t="s">
        <v>12</v>
      </c>
      <c r="L99" s="15" t="s">
        <v>132</v>
      </c>
      <c r="M99" s="5" t="s">
        <v>133</v>
      </c>
      <c r="N99" s="5" t="s">
        <v>134</v>
      </c>
      <c r="O99" s="16" t="s">
        <v>391</v>
      </c>
      <c r="P99" s="5" t="s">
        <v>135</v>
      </c>
      <c r="Q99" s="12" t="n">
        <v>0.85</v>
      </c>
      <c r="R99" s="6" t="s">
        <v>476</v>
      </c>
      <c r="S99" s="7" t="s">
        <v>138</v>
      </c>
    </row>
    <row r="100" customFormat="false" ht="23.85" hidden="false" customHeight="false" outlineLevel="0" collapsed="false">
      <c r="A100" s="5" t="s">
        <v>10</v>
      </c>
      <c r="B100" s="5" t="s">
        <v>72</v>
      </c>
      <c r="C100" s="5" t="n">
        <v>2</v>
      </c>
      <c r="D100" s="6" t="s">
        <v>75</v>
      </c>
      <c r="E100" s="5" t="s">
        <v>164</v>
      </c>
      <c r="F100" s="5" t="s">
        <v>487</v>
      </c>
      <c r="G100" s="6" t="s">
        <v>488</v>
      </c>
      <c r="H100" s="6" t="s">
        <v>489</v>
      </c>
      <c r="I100" s="5" t="s">
        <v>168</v>
      </c>
      <c r="J100" s="11" t="n">
        <v>46292</v>
      </c>
      <c r="K100" s="5" t="s">
        <v>12</v>
      </c>
      <c r="L100" s="15" t="s">
        <v>132</v>
      </c>
      <c r="M100" s="5" t="s">
        <v>133</v>
      </c>
      <c r="N100" s="5" t="s">
        <v>134</v>
      </c>
      <c r="O100" s="16" t="s">
        <v>391</v>
      </c>
      <c r="P100" s="5" t="s">
        <v>135</v>
      </c>
      <c r="Q100" s="12" t="n">
        <v>0.8</v>
      </c>
      <c r="R100" s="6" t="s">
        <v>490</v>
      </c>
      <c r="S100" s="7" t="s">
        <v>138</v>
      </c>
    </row>
    <row r="101" customFormat="false" ht="35.05" hidden="false" customHeight="false" outlineLevel="0" collapsed="false">
      <c r="A101" s="5" t="s">
        <v>10</v>
      </c>
      <c r="B101" s="5" t="s">
        <v>72</v>
      </c>
      <c r="C101" s="5" t="n">
        <v>2</v>
      </c>
      <c r="D101" s="6" t="s">
        <v>75</v>
      </c>
      <c r="E101" s="5" t="s">
        <v>164</v>
      </c>
      <c r="F101" s="5" t="s">
        <v>491</v>
      </c>
      <c r="G101" s="6" t="s">
        <v>492</v>
      </c>
      <c r="H101" s="6" t="s">
        <v>493</v>
      </c>
      <c r="I101" s="5" t="s">
        <v>168</v>
      </c>
      <c r="J101" s="11" t="n">
        <v>46292</v>
      </c>
      <c r="K101" s="5" t="s">
        <v>12</v>
      </c>
      <c r="L101" s="15" t="s">
        <v>132</v>
      </c>
      <c r="M101" s="5" t="s">
        <v>133</v>
      </c>
      <c r="N101" s="5" t="s">
        <v>134</v>
      </c>
      <c r="O101" s="16" t="s">
        <v>391</v>
      </c>
      <c r="P101" s="5" t="s">
        <v>135</v>
      </c>
      <c r="Q101" s="12" t="n">
        <v>0.85</v>
      </c>
      <c r="R101" s="6" t="s">
        <v>476</v>
      </c>
      <c r="S101" s="7" t="s">
        <v>138</v>
      </c>
    </row>
    <row r="102" customFormat="false" ht="23.85" hidden="false" customHeight="false" outlineLevel="0" collapsed="false">
      <c r="A102" s="5" t="s">
        <v>10</v>
      </c>
      <c r="B102" s="5" t="s">
        <v>72</v>
      </c>
      <c r="C102" s="5" t="n">
        <v>2</v>
      </c>
      <c r="D102" s="6" t="s">
        <v>75</v>
      </c>
      <c r="E102" s="5" t="s">
        <v>164</v>
      </c>
      <c r="F102" s="5" t="s">
        <v>494</v>
      </c>
      <c r="G102" s="6" t="s">
        <v>495</v>
      </c>
      <c r="H102" s="6" t="s">
        <v>496</v>
      </c>
      <c r="I102" s="5" t="s">
        <v>168</v>
      </c>
      <c r="J102" s="11" t="n">
        <v>46292</v>
      </c>
      <c r="K102" s="5" t="s">
        <v>12</v>
      </c>
      <c r="L102" s="15" t="s">
        <v>132</v>
      </c>
      <c r="M102" s="5" t="s">
        <v>133</v>
      </c>
      <c r="N102" s="5" t="s">
        <v>134</v>
      </c>
      <c r="O102" s="16" t="s">
        <v>391</v>
      </c>
      <c r="P102" s="5" t="s">
        <v>135</v>
      </c>
      <c r="Q102" s="12" t="n">
        <v>0.85</v>
      </c>
      <c r="R102" s="6" t="s">
        <v>476</v>
      </c>
      <c r="S102" s="7" t="s">
        <v>138</v>
      </c>
    </row>
    <row r="103" customFormat="false" ht="23.85" hidden="false" customHeight="false" outlineLevel="0" collapsed="false">
      <c r="A103" s="5" t="s">
        <v>10</v>
      </c>
      <c r="B103" s="5" t="s">
        <v>72</v>
      </c>
      <c r="C103" s="5" t="n">
        <v>2</v>
      </c>
      <c r="D103" s="6" t="s">
        <v>75</v>
      </c>
      <c r="E103" s="5" t="s">
        <v>164</v>
      </c>
      <c r="F103" s="5" t="s">
        <v>497</v>
      </c>
      <c r="G103" s="6" t="s">
        <v>498</v>
      </c>
      <c r="H103" s="6" t="s">
        <v>499</v>
      </c>
      <c r="I103" s="5" t="s">
        <v>168</v>
      </c>
      <c r="J103" s="11" t="n">
        <v>46292</v>
      </c>
      <c r="K103" s="5" t="s">
        <v>12</v>
      </c>
      <c r="L103" s="15" t="s">
        <v>132</v>
      </c>
      <c r="M103" s="5" t="s">
        <v>133</v>
      </c>
      <c r="N103" s="5" t="s">
        <v>134</v>
      </c>
      <c r="O103" s="16" t="s">
        <v>391</v>
      </c>
      <c r="P103" s="5" t="s">
        <v>135</v>
      </c>
      <c r="Q103" s="12" t="n">
        <v>0.85</v>
      </c>
      <c r="R103" s="6" t="s">
        <v>476</v>
      </c>
      <c r="S103" s="7" t="s">
        <v>138</v>
      </c>
    </row>
    <row r="104" customFormat="false" ht="23.85" hidden="false" customHeight="false" outlineLevel="0" collapsed="false">
      <c r="A104" s="5" t="s">
        <v>10</v>
      </c>
      <c r="B104" s="5" t="s">
        <v>72</v>
      </c>
      <c r="C104" s="5" t="n">
        <v>2</v>
      </c>
      <c r="D104" s="6" t="s">
        <v>75</v>
      </c>
      <c r="E104" s="5" t="s">
        <v>299</v>
      </c>
      <c r="F104" s="5" t="s">
        <v>500</v>
      </c>
      <c r="G104" s="6" t="s">
        <v>501</v>
      </c>
      <c r="H104" s="6" t="s">
        <v>502</v>
      </c>
      <c r="I104" s="5" t="s">
        <v>294</v>
      </c>
      <c r="J104" s="11" t="n">
        <v>46292</v>
      </c>
      <c r="K104" s="5" t="s">
        <v>12</v>
      </c>
      <c r="L104" s="15" t="s">
        <v>132</v>
      </c>
      <c r="M104" s="5" t="s">
        <v>133</v>
      </c>
      <c r="N104" s="5" t="s">
        <v>134</v>
      </c>
      <c r="O104" s="16" t="s">
        <v>391</v>
      </c>
      <c r="P104" s="5" t="s">
        <v>136</v>
      </c>
      <c r="Q104" s="12" t="n">
        <v>0.8</v>
      </c>
      <c r="R104" s="6" t="s">
        <v>476</v>
      </c>
      <c r="S104" s="7" t="s">
        <v>138</v>
      </c>
    </row>
    <row r="105" customFormat="false" ht="23.85" hidden="false" customHeight="false" outlineLevel="0" collapsed="false">
      <c r="A105" s="5" t="s">
        <v>10</v>
      </c>
      <c r="B105" s="5" t="s">
        <v>72</v>
      </c>
      <c r="C105" s="5" t="n">
        <v>2</v>
      </c>
      <c r="D105" s="6" t="s">
        <v>75</v>
      </c>
      <c r="E105" s="5" t="s">
        <v>503</v>
      </c>
      <c r="F105" s="5" t="s">
        <v>504</v>
      </c>
      <c r="G105" s="6" t="s">
        <v>505</v>
      </c>
      <c r="H105" s="6" t="s">
        <v>506</v>
      </c>
      <c r="I105" s="5" t="s">
        <v>213</v>
      </c>
      <c r="J105" s="11" t="n">
        <v>46292</v>
      </c>
      <c r="K105" s="5" t="s">
        <v>12</v>
      </c>
      <c r="L105" s="15" t="s">
        <v>132</v>
      </c>
      <c r="M105" s="5" t="s">
        <v>133</v>
      </c>
      <c r="N105" s="5" t="s">
        <v>134</v>
      </c>
      <c r="O105" s="16" t="s">
        <v>391</v>
      </c>
      <c r="P105" s="5" t="s">
        <v>136</v>
      </c>
      <c r="Q105" s="12" t="n">
        <v>0.8</v>
      </c>
      <c r="R105" s="6" t="s">
        <v>507</v>
      </c>
      <c r="S105" s="7" t="s">
        <v>138</v>
      </c>
    </row>
    <row r="106" customFormat="false" ht="23.85" hidden="false" customHeight="false" outlineLevel="0" collapsed="false">
      <c r="A106" s="5" t="s">
        <v>10</v>
      </c>
      <c r="B106" s="5" t="s">
        <v>72</v>
      </c>
      <c r="C106" s="5" t="n">
        <v>2</v>
      </c>
      <c r="D106" s="6" t="s">
        <v>75</v>
      </c>
      <c r="E106" s="5" t="s">
        <v>503</v>
      </c>
      <c r="F106" s="5" t="s">
        <v>508</v>
      </c>
      <c r="G106" s="6" t="s">
        <v>509</v>
      </c>
      <c r="H106" s="6" t="s">
        <v>510</v>
      </c>
      <c r="I106" s="5" t="s">
        <v>213</v>
      </c>
      <c r="J106" s="11" t="n">
        <v>46292</v>
      </c>
      <c r="K106" s="5" t="s">
        <v>12</v>
      </c>
      <c r="L106" s="15" t="s">
        <v>132</v>
      </c>
      <c r="M106" s="5" t="s">
        <v>133</v>
      </c>
      <c r="N106" s="5" t="s">
        <v>134</v>
      </c>
      <c r="O106" s="16" t="s">
        <v>391</v>
      </c>
      <c r="P106" s="5" t="s">
        <v>136</v>
      </c>
      <c r="Q106" s="12" t="n">
        <v>0.8</v>
      </c>
      <c r="R106" s="6" t="s">
        <v>511</v>
      </c>
      <c r="S106" s="7" t="s">
        <v>138</v>
      </c>
    </row>
    <row r="107" customFormat="false" ht="23.85" hidden="false" customHeight="false" outlineLevel="0" collapsed="false">
      <c r="A107" s="5" t="s">
        <v>10</v>
      </c>
      <c r="B107" s="5" t="s">
        <v>72</v>
      </c>
      <c r="C107" s="5" t="n">
        <v>2</v>
      </c>
      <c r="D107" s="6" t="s">
        <v>75</v>
      </c>
      <c r="E107" s="5" t="s">
        <v>503</v>
      </c>
      <c r="F107" s="5" t="s">
        <v>512</v>
      </c>
      <c r="G107" s="6" t="s">
        <v>513</v>
      </c>
      <c r="H107" s="6" t="s">
        <v>514</v>
      </c>
      <c r="I107" s="5" t="s">
        <v>213</v>
      </c>
      <c r="J107" s="11" t="n">
        <v>46292</v>
      </c>
      <c r="K107" s="5" t="s">
        <v>12</v>
      </c>
      <c r="L107" s="15" t="s">
        <v>132</v>
      </c>
      <c r="M107" s="5" t="s">
        <v>133</v>
      </c>
      <c r="N107" s="5" t="s">
        <v>134</v>
      </c>
      <c r="O107" s="16" t="s">
        <v>391</v>
      </c>
      <c r="P107" s="5" t="s">
        <v>136</v>
      </c>
      <c r="Q107" s="12" t="n">
        <v>0.8</v>
      </c>
      <c r="R107" s="6" t="s">
        <v>511</v>
      </c>
      <c r="S107" s="7" t="s">
        <v>138</v>
      </c>
    </row>
    <row r="108" customFormat="false" ht="23.85" hidden="false" customHeight="false" outlineLevel="0" collapsed="false">
      <c r="A108" s="5" t="s">
        <v>10</v>
      </c>
      <c r="B108" s="5" t="s">
        <v>72</v>
      </c>
      <c r="C108" s="5" t="n">
        <v>2</v>
      </c>
      <c r="D108" s="6" t="s">
        <v>75</v>
      </c>
      <c r="E108" s="5" t="s">
        <v>503</v>
      </c>
      <c r="F108" s="5" t="s">
        <v>515</v>
      </c>
      <c r="G108" s="6" t="s">
        <v>516</v>
      </c>
      <c r="H108" s="6" t="s">
        <v>517</v>
      </c>
      <c r="I108" s="5" t="s">
        <v>213</v>
      </c>
      <c r="J108" s="11" t="n">
        <v>46290</v>
      </c>
      <c r="K108" s="5" t="s">
        <v>12</v>
      </c>
      <c r="L108" s="15" t="s">
        <v>132</v>
      </c>
      <c r="M108" s="5" t="s">
        <v>133</v>
      </c>
      <c r="N108" s="5" t="s">
        <v>134</v>
      </c>
      <c r="O108" s="15" t="s">
        <v>135</v>
      </c>
      <c r="P108" s="5" t="s">
        <v>136</v>
      </c>
      <c r="Q108" s="12" t="n">
        <v>0.75</v>
      </c>
      <c r="R108" s="6" t="s">
        <v>318</v>
      </c>
      <c r="S108" s="7" t="s">
        <v>138</v>
      </c>
    </row>
    <row r="109" customFormat="false" ht="23.85" hidden="false" customHeight="false" outlineLevel="0" collapsed="false">
      <c r="A109" s="5" t="s">
        <v>10</v>
      </c>
      <c r="B109" s="5" t="s">
        <v>72</v>
      </c>
      <c r="C109" s="5" t="n">
        <v>2</v>
      </c>
      <c r="D109" s="6" t="s">
        <v>75</v>
      </c>
      <c r="E109" s="5" t="s">
        <v>164</v>
      </c>
      <c r="F109" s="5" t="s">
        <v>518</v>
      </c>
      <c r="G109" s="6" t="s">
        <v>519</v>
      </c>
      <c r="H109" s="6" t="s">
        <v>520</v>
      </c>
      <c r="I109" s="5" t="s">
        <v>168</v>
      </c>
      <c r="J109" s="11" t="n">
        <v>46292</v>
      </c>
      <c r="K109" s="5" t="s">
        <v>12</v>
      </c>
      <c r="L109" s="15" t="s">
        <v>132</v>
      </c>
      <c r="M109" s="5" t="s">
        <v>133</v>
      </c>
      <c r="N109" s="5" t="s">
        <v>134</v>
      </c>
      <c r="O109" s="16" t="s">
        <v>391</v>
      </c>
      <c r="P109" s="5" t="s">
        <v>136</v>
      </c>
      <c r="Q109" s="12" t="n">
        <v>0.8</v>
      </c>
      <c r="R109" s="6" t="s">
        <v>521</v>
      </c>
      <c r="S109" s="7" t="s">
        <v>138</v>
      </c>
    </row>
    <row r="110" customFormat="false" ht="23.85" hidden="false" customHeight="false" outlineLevel="0" collapsed="false">
      <c r="A110" s="5" t="s">
        <v>10</v>
      </c>
      <c r="B110" s="5" t="s">
        <v>72</v>
      </c>
      <c r="C110" s="5" t="n">
        <v>2</v>
      </c>
      <c r="D110" s="6" t="s">
        <v>75</v>
      </c>
      <c r="E110" s="5" t="s">
        <v>209</v>
      </c>
      <c r="F110" s="5" t="s">
        <v>522</v>
      </c>
      <c r="G110" s="6" t="s">
        <v>523</v>
      </c>
      <c r="H110" s="6" t="s">
        <v>524</v>
      </c>
      <c r="I110" s="5" t="s">
        <v>213</v>
      </c>
      <c r="J110" s="11" t="n">
        <v>46289</v>
      </c>
      <c r="K110" s="5" t="s">
        <v>12</v>
      </c>
      <c r="L110" s="15" t="s">
        <v>132</v>
      </c>
      <c r="M110" s="5" t="s">
        <v>133</v>
      </c>
      <c r="N110" s="5" t="s">
        <v>134</v>
      </c>
      <c r="O110" s="15" t="s">
        <v>135</v>
      </c>
      <c r="P110" s="5" t="s">
        <v>135</v>
      </c>
      <c r="Q110" s="12" t="n">
        <v>0.85</v>
      </c>
      <c r="R110" s="6" t="s">
        <v>525</v>
      </c>
      <c r="S110" s="7" t="s">
        <v>138</v>
      </c>
    </row>
    <row r="111" customFormat="false" ht="23.85" hidden="false" customHeight="false" outlineLevel="0" collapsed="false">
      <c r="A111" s="5" t="s">
        <v>10</v>
      </c>
      <c r="B111" s="5" t="s">
        <v>72</v>
      </c>
      <c r="C111" s="5" t="n">
        <v>2</v>
      </c>
      <c r="D111" s="6" t="s">
        <v>75</v>
      </c>
      <c r="E111" s="5" t="s">
        <v>209</v>
      </c>
      <c r="F111" s="5" t="s">
        <v>526</v>
      </c>
      <c r="G111" s="6" t="s">
        <v>527</v>
      </c>
      <c r="H111" s="6" t="s">
        <v>528</v>
      </c>
      <c r="I111" s="5" t="s">
        <v>213</v>
      </c>
      <c r="J111" s="11" t="n">
        <v>46289</v>
      </c>
      <c r="K111" s="5" t="s">
        <v>12</v>
      </c>
      <c r="L111" s="15" t="s">
        <v>132</v>
      </c>
      <c r="M111" s="5" t="s">
        <v>133</v>
      </c>
      <c r="N111" s="5" t="s">
        <v>134</v>
      </c>
      <c r="O111" s="15" t="s">
        <v>135</v>
      </c>
      <c r="P111" s="5" t="s">
        <v>135</v>
      </c>
      <c r="Q111" s="12" t="n">
        <v>0.85</v>
      </c>
      <c r="R111" s="6" t="s">
        <v>529</v>
      </c>
      <c r="S111" s="7" t="s">
        <v>138</v>
      </c>
    </row>
    <row r="112" customFormat="false" ht="23.85" hidden="false" customHeight="false" outlineLevel="0" collapsed="false">
      <c r="A112" s="5" t="s">
        <v>10</v>
      </c>
      <c r="B112" s="5" t="s">
        <v>72</v>
      </c>
      <c r="C112" s="5" t="n">
        <v>2</v>
      </c>
      <c r="D112" s="6" t="s">
        <v>75</v>
      </c>
      <c r="E112" s="5" t="s">
        <v>209</v>
      </c>
      <c r="F112" s="5" t="s">
        <v>530</v>
      </c>
      <c r="G112" s="6" t="s">
        <v>531</v>
      </c>
      <c r="H112" s="6" t="s">
        <v>532</v>
      </c>
      <c r="I112" s="5" t="s">
        <v>213</v>
      </c>
      <c r="J112" s="11" t="n">
        <v>46289</v>
      </c>
      <c r="K112" s="5" t="s">
        <v>12</v>
      </c>
      <c r="L112" s="15" t="s">
        <v>132</v>
      </c>
      <c r="M112" s="5" t="s">
        <v>133</v>
      </c>
      <c r="N112" s="5" t="s">
        <v>134</v>
      </c>
      <c r="O112" s="15" t="s">
        <v>135</v>
      </c>
      <c r="P112" s="5" t="s">
        <v>135</v>
      </c>
      <c r="Q112" s="12" t="n">
        <v>0.9</v>
      </c>
      <c r="R112" s="6" t="s">
        <v>533</v>
      </c>
      <c r="S112" s="7" t="s">
        <v>138</v>
      </c>
    </row>
    <row r="113" customFormat="false" ht="23.85" hidden="false" customHeight="false" outlineLevel="0" collapsed="false">
      <c r="A113" s="5" t="s">
        <v>10</v>
      </c>
      <c r="B113" s="5" t="s">
        <v>72</v>
      </c>
      <c r="C113" s="5" t="n">
        <v>2</v>
      </c>
      <c r="D113" s="6" t="s">
        <v>75</v>
      </c>
      <c r="E113" s="5" t="s">
        <v>209</v>
      </c>
      <c r="F113" s="5" t="s">
        <v>534</v>
      </c>
      <c r="G113" s="6" t="s">
        <v>535</v>
      </c>
      <c r="H113" s="6" t="s">
        <v>536</v>
      </c>
      <c r="I113" s="5" t="s">
        <v>213</v>
      </c>
      <c r="J113" s="11" t="n">
        <v>46289</v>
      </c>
      <c r="K113" s="5" t="s">
        <v>12</v>
      </c>
      <c r="L113" s="15" t="s">
        <v>132</v>
      </c>
      <c r="M113" s="5" t="s">
        <v>133</v>
      </c>
      <c r="N113" s="5" t="s">
        <v>134</v>
      </c>
      <c r="O113" s="15" t="s">
        <v>135</v>
      </c>
      <c r="P113" s="5" t="s">
        <v>135</v>
      </c>
      <c r="Q113" s="12" t="n">
        <v>0.9</v>
      </c>
      <c r="R113" s="6" t="s">
        <v>537</v>
      </c>
      <c r="S113" s="7" t="s">
        <v>138</v>
      </c>
    </row>
    <row r="114" customFormat="false" ht="23.85" hidden="false" customHeight="false" outlineLevel="0" collapsed="false">
      <c r="A114" s="5" t="s">
        <v>10</v>
      </c>
      <c r="B114" s="5" t="s">
        <v>72</v>
      </c>
      <c r="C114" s="5" t="n">
        <v>2</v>
      </c>
      <c r="D114" s="6" t="s">
        <v>75</v>
      </c>
      <c r="E114" s="5" t="s">
        <v>209</v>
      </c>
      <c r="F114" s="5" t="s">
        <v>538</v>
      </c>
      <c r="G114" s="6" t="s">
        <v>539</v>
      </c>
      <c r="H114" s="6" t="s">
        <v>540</v>
      </c>
      <c r="I114" s="5" t="s">
        <v>213</v>
      </c>
      <c r="J114" s="11" t="n">
        <v>46292</v>
      </c>
      <c r="K114" s="5" t="s">
        <v>12</v>
      </c>
      <c r="L114" s="15" t="s">
        <v>132</v>
      </c>
      <c r="M114" s="5" t="s">
        <v>133</v>
      </c>
      <c r="N114" s="5" t="s">
        <v>134</v>
      </c>
      <c r="O114" s="16" t="s">
        <v>391</v>
      </c>
      <c r="P114" s="5" t="s">
        <v>135</v>
      </c>
      <c r="Q114" s="12" t="n">
        <v>0.85</v>
      </c>
      <c r="R114" s="6" t="s">
        <v>476</v>
      </c>
      <c r="S114" s="7" t="s">
        <v>138</v>
      </c>
    </row>
    <row r="115" customFormat="false" ht="23.85" hidden="false" customHeight="false" outlineLevel="0" collapsed="false">
      <c r="A115" s="5" t="s">
        <v>10</v>
      </c>
      <c r="B115" s="5" t="s">
        <v>72</v>
      </c>
      <c r="C115" s="5" t="n">
        <v>2</v>
      </c>
      <c r="D115" s="6" t="s">
        <v>75</v>
      </c>
      <c r="E115" s="5" t="s">
        <v>209</v>
      </c>
      <c r="F115" s="5" t="s">
        <v>541</v>
      </c>
      <c r="G115" s="6" t="s">
        <v>542</v>
      </c>
      <c r="H115" s="6" t="s">
        <v>543</v>
      </c>
      <c r="I115" s="5" t="s">
        <v>213</v>
      </c>
      <c r="J115" s="11" t="n">
        <v>46289</v>
      </c>
      <c r="K115" s="5" t="s">
        <v>12</v>
      </c>
      <c r="L115" s="15" t="s">
        <v>132</v>
      </c>
      <c r="M115" s="5" t="s">
        <v>133</v>
      </c>
      <c r="N115" s="5" t="s">
        <v>134</v>
      </c>
      <c r="O115" s="15" t="s">
        <v>135</v>
      </c>
      <c r="P115" s="5" t="s">
        <v>135</v>
      </c>
      <c r="Q115" s="12" t="n">
        <v>0.85</v>
      </c>
      <c r="R115" s="6" t="s">
        <v>544</v>
      </c>
      <c r="S115" s="7" t="s">
        <v>138</v>
      </c>
    </row>
    <row r="116" customFormat="false" ht="23.85" hidden="false" customHeight="false" outlineLevel="0" collapsed="false">
      <c r="A116" s="5" t="s">
        <v>10</v>
      </c>
      <c r="B116" s="5" t="s">
        <v>72</v>
      </c>
      <c r="C116" s="5" t="n">
        <v>2</v>
      </c>
      <c r="D116" s="6" t="s">
        <v>75</v>
      </c>
      <c r="E116" s="5" t="s">
        <v>209</v>
      </c>
      <c r="F116" s="5" t="s">
        <v>545</v>
      </c>
      <c r="G116" s="6" t="s">
        <v>546</v>
      </c>
      <c r="H116" s="6" t="s">
        <v>547</v>
      </c>
      <c r="I116" s="5" t="s">
        <v>213</v>
      </c>
      <c r="J116" s="11" t="n">
        <v>46289</v>
      </c>
      <c r="K116" s="5" t="s">
        <v>12</v>
      </c>
      <c r="L116" s="15" t="s">
        <v>132</v>
      </c>
      <c r="M116" s="5" t="s">
        <v>133</v>
      </c>
      <c r="N116" s="5" t="s">
        <v>134</v>
      </c>
      <c r="O116" s="15" t="s">
        <v>135</v>
      </c>
      <c r="P116" s="5" t="s">
        <v>135</v>
      </c>
      <c r="Q116" s="12" t="n">
        <v>0.9</v>
      </c>
      <c r="R116" s="6" t="s">
        <v>548</v>
      </c>
      <c r="S116" s="7" t="s">
        <v>138</v>
      </c>
    </row>
    <row r="117" customFormat="false" ht="23.85" hidden="false" customHeight="false" outlineLevel="0" collapsed="false">
      <c r="A117" s="5" t="s">
        <v>10</v>
      </c>
      <c r="B117" s="5" t="s">
        <v>72</v>
      </c>
      <c r="C117" s="5" t="n">
        <v>2</v>
      </c>
      <c r="D117" s="6" t="s">
        <v>75</v>
      </c>
      <c r="E117" s="5" t="s">
        <v>209</v>
      </c>
      <c r="F117" s="5" t="s">
        <v>549</v>
      </c>
      <c r="G117" s="6" t="s">
        <v>550</v>
      </c>
      <c r="H117" s="6" t="s">
        <v>551</v>
      </c>
      <c r="I117" s="5" t="s">
        <v>213</v>
      </c>
      <c r="J117" s="11" t="n">
        <v>46289</v>
      </c>
      <c r="K117" s="5" t="s">
        <v>12</v>
      </c>
      <c r="L117" s="15" t="s">
        <v>132</v>
      </c>
      <c r="M117" s="5" t="s">
        <v>133</v>
      </c>
      <c r="N117" s="5" t="s">
        <v>134</v>
      </c>
      <c r="O117" s="15" t="s">
        <v>135</v>
      </c>
      <c r="P117" s="5" t="s">
        <v>136</v>
      </c>
      <c r="Q117" s="12" t="n">
        <v>0.85</v>
      </c>
      <c r="R117" s="6" t="s">
        <v>552</v>
      </c>
      <c r="S117" s="7" t="s">
        <v>138</v>
      </c>
    </row>
    <row r="118" customFormat="false" ht="23.85" hidden="false" customHeight="false" outlineLevel="0" collapsed="false">
      <c r="A118" s="5" t="s">
        <v>10</v>
      </c>
      <c r="B118" s="5" t="s">
        <v>72</v>
      </c>
      <c r="C118" s="5" t="n">
        <v>2</v>
      </c>
      <c r="D118" s="6" t="s">
        <v>75</v>
      </c>
      <c r="E118" s="5" t="s">
        <v>127</v>
      </c>
      <c r="F118" s="5" t="s">
        <v>553</v>
      </c>
      <c r="G118" s="6" t="s">
        <v>554</v>
      </c>
      <c r="H118" s="6" t="s">
        <v>555</v>
      </c>
      <c r="I118" s="5" t="s">
        <v>131</v>
      </c>
      <c r="J118" s="11" t="n">
        <v>46289</v>
      </c>
      <c r="K118" s="5" t="s">
        <v>12</v>
      </c>
      <c r="L118" s="15" t="s">
        <v>132</v>
      </c>
      <c r="M118" s="5" t="s">
        <v>133</v>
      </c>
      <c r="N118" s="5" t="s">
        <v>134</v>
      </c>
      <c r="O118" s="15" t="s">
        <v>135</v>
      </c>
      <c r="P118" s="5" t="s">
        <v>135</v>
      </c>
      <c r="Q118" s="12" t="n">
        <v>0.8</v>
      </c>
      <c r="R118" s="6" t="s">
        <v>556</v>
      </c>
      <c r="S118" s="7" t="s">
        <v>138</v>
      </c>
    </row>
    <row r="119" customFormat="false" ht="23.85" hidden="false" customHeight="false" outlineLevel="0" collapsed="false">
      <c r="A119" s="5" t="s">
        <v>10</v>
      </c>
      <c r="B119" s="5" t="s">
        <v>72</v>
      </c>
      <c r="C119" s="5" t="n">
        <v>2</v>
      </c>
      <c r="D119" s="6" t="s">
        <v>75</v>
      </c>
      <c r="E119" s="5" t="s">
        <v>209</v>
      </c>
      <c r="F119" s="5" t="s">
        <v>557</v>
      </c>
      <c r="G119" s="6" t="s">
        <v>558</v>
      </c>
      <c r="H119" s="6" t="s">
        <v>559</v>
      </c>
      <c r="I119" s="5" t="s">
        <v>213</v>
      </c>
      <c r="J119" s="11" t="n">
        <v>46289</v>
      </c>
      <c r="K119" s="5" t="s">
        <v>12</v>
      </c>
      <c r="L119" s="15" t="s">
        <v>132</v>
      </c>
      <c r="M119" s="5" t="s">
        <v>133</v>
      </c>
      <c r="N119" s="5" t="s">
        <v>134</v>
      </c>
      <c r="O119" s="15" t="s">
        <v>135</v>
      </c>
      <c r="P119" s="5" t="s">
        <v>135</v>
      </c>
      <c r="Q119" s="12" t="n">
        <v>0.8</v>
      </c>
      <c r="R119" s="6" t="s">
        <v>560</v>
      </c>
      <c r="S119" s="7" t="s">
        <v>138</v>
      </c>
    </row>
    <row r="120" customFormat="false" ht="23.85" hidden="false" customHeight="false" outlineLevel="0" collapsed="false">
      <c r="A120" s="5" t="s">
        <v>10</v>
      </c>
      <c r="B120" s="5" t="s">
        <v>72</v>
      </c>
      <c r="C120" s="5" t="n">
        <v>2</v>
      </c>
      <c r="D120" s="6" t="s">
        <v>75</v>
      </c>
      <c r="E120" s="5" t="s">
        <v>209</v>
      </c>
      <c r="F120" s="5" t="s">
        <v>561</v>
      </c>
      <c r="G120" s="6" t="s">
        <v>562</v>
      </c>
      <c r="H120" s="6" t="s">
        <v>563</v>
      </c>
      <c r="I120" s="5" t="s">
        <v>213</v>
      </c>
      <c r="J120" s="11" t="n">
        <v>46289</v>
      </c>
      <c r="K120" s="5" t="s">
        <v>12</v>
      </c>
      <c r="L120" s="15" t="s">
        <v>132</v>
      </c>
      <c r="M120" s="5" t="s">
        <v>133</v>
      </c>
      <c r="N120" s="5" t="s">
        <v>134</v>
      </c>
      <c r="O120" s="15" t="s">
        <v>135</v>
      </c>
      <c r="P120" s="5" t="s">
        <v>135</v>
      </c>
      <c r="Q120" s="12" t="n">
        <v>0.85</v>
      </c>
      <c r="R120" s="6" t="s">
        <v>564</v>
      </c>
      <c r="S120" s="7" t="s">
        <v>138</v>
      </c>
    </row>
    <row r="121" customFormat="false" ht="23.85" hidden="false" customHeight="false" outlineLevel="0" collapsed="false">
      <c r="A121" s="5" t="s">
        <v>10</v>
      </c>
      <c r="B121" s="5" t="s">
        <v>72</v>
      </c>
      <c r="C121" s="5" t="n">
        <v>2</v>
      </c>
      <c r="D121" s="6" t="s">
        <v>75</v>
      </c>
      <c r="E121" s="5" t="s">
        <v>209</v>
      </c>
      <c r="F121" s="5" t="s">
        <v>565</v>
      </c>
      <c r="G121" s="6" t="s">
        <v>566</v>
      </c>
      <c r="H121" s="6" t="s">
        <v>567</v>
      </c>
      <c r="I121" s="5" t="s">
        <v>213</v>
      </c>
      <c r="J121" s="11" t="n">
        <v>46289</v>
      </c>
      <c r="K121" s="5" t="s">
        <v>12</v>
      </c>
      <c r="L121" s="15" t="s">
        <v>132</v>
      </c>
      <c r="M121" s="5" t="s">
        <v>133</v>
      </c>
      <c r="N121" s="5" t="s">
        <v>134</v>
      </c>
      <c r="O121" s="15" t="s">
        <v>135</v>
      </c>
      <c r="P121" s="5" t="s">
        <v>135</v>
      </c>
      <c r="Q121" s="12" t="n">
        <v>0.8</v>
      </c>
      <c r="R121" s="6" t="s">
        <v>537</v>
      </c>
      <c r="S121" s="7" t="s">
        <v>138</v>
      </c>
    </row>
    <row r="122" customFormat="false" ht="23.85" hidden="false" customHeight="false" outlineLevel="0" collapsed="false">
      <c r="A122" s="5" t="s">
        <v>10</v>
      </c>
      <c r="B122" s="5" t="s">
        <v>72</v>
      </c>
      <c r="C122" s="5" t="n">
        <v>2</v>
      </c>
      <c r="D122" s="6" t="s">
        <v>75</v>
      </c>
      <c r="E122" s="5" t="s">
        <v>209</v>
      </c>
      <c r="F122" s="5" t="s">
        <v>568</v>
      </c>
      <c r="G122" s="6" t="s">
        <v>569</v>
      </c>
      <c r="H122" s="6" t="s">
        <v>570</v>
      </c>
      <c r="I122" s="5" t="s">
        <v>213</v>
      </c>
      <c r="J122" s="11" t="n">
        <v>46289</v>
      </c>
      <c r="K122" s="5" t="s">
        <v>12</v>
      </c>
      <c r="L122" s="15" t="s">
        <v>132</v>
      </c>
      <c r="M122" s="5" t="s">
        <v>133</v>
      </c>
      <c r="N122" s="5" t="s">
        <v>134</v>
      </c>
      <c r="O122" s="15" t="s">
        <v>135</v>
      </c>
      <c r="P122" s="5" t="s">
        <v>135</v>
      </c>
      <c r="Q122" s="12" t="n">
        <v>0.85</v>
      </c>
      <c r="R122" s="6" t="s">
        <v>537</v>
      </c>
      <c r="S122" s="7" t="s">
        <v>138</v>
      </c>
    </row>
    <row r="123" customFormat="false" ht="23.85" hidden="false" customHeight="false" outlineLevel="0" collapsed="false">
      <c r="A123" s="5" t="s">
        <v>10</v>
      </c>
      <c r="B123" s="5" t="s">
        <v>72</v>
      </c>
      <c r="C123" s="5" t="n">
        <v>2</v>
      </c>
      <c r="D123" s="6" t="s">
        <v>75</v>
      </c>
      <c r="E123" s="5" t="s">
        <v>209</v>
      </c>
      <c r="F123" s="5" t="s">
        <v>571</v>
      </c>
      <c r="G123" s="6" t="s">
        <v>572</v>
      </c>
      <c r="H123" s="6" t="s">
        <v>573</v>
      </c>
      <c r="I123" s="5" t="s">
        <v>213</v>
      </c>
      <c r="J123" s="11" t="n">
        <v>46292</v>
      </c>
      <c r="K123" s="5" t="s">
        <v>12</v>
      </c>
      <c r="L123" s="15" t="s">
        <v>132</v>
      </c>
      <c r="M123" s="5" t="s">
        <v>133</v>
      </c>
      <c r="N123" s="5" t="s">
        <v>134</v>
      </c>
      <c r="O123" s="16" t="s">
        <v>391</v>
      </c>
      <c r="P123" s="5" t="s">
        <v>135</v>
      </c>
      <c r="Q123" s="12" t="n">
        <v>0.8</v>
      </c>
      <c r="R123" s="6" t="s">
        <v>574</v>
      </c>
      <c r="S123" s="7" t="s">
        <v>138</v>
      </c>
    </row>
    <row r="124" customFormat="false" ht="57.45" hidden="false" customHeight="false" outlineLevel="0" collapsed="false">
      <c r="A124" s="5" t="s">
        <v>10</v>
      </c>
      <c r="B124" s="5" t="s">
        <v>72</v>
      </c>
      <c r="C124" s="5" t="n">
        <v>2</v>
      </c>
      <c r="D124" s="6" t="s">
        <v>75</v>
      </c>
      <c r="E124" s="5" t="s">
        <v>503</v>
      </c>
      <c r="F124" s="5" t="s">
        <v>575</v>
      </c>
      <c r="G124" s="6" t="s">
        <v>576</v>
      </c>
      <c r="H124" s="6" t="s">
        <v>577</v>
      </c>
      <c r="I124" s="5" t="s">
        <v>213</v>
      </c>
      <c r="J124" s="11" t="n">
        <v>46302</v>
      </c>
      <c r="K124" s="5" t="s">
        <v>12</v>
      </c>
      <c r="L124" s="15" t="s">
        <v>132</v>
      </c>
      <c r="M124" s="5" t="s">
        <v>133</v>
      </c>
      <c r="N124" s="5" t="s">
        <v>134</v>
      </c>
      <c r="O124" s="16" t="s">
        <v>391</v>
      </c>
      <c r="P124" s="5" t="s">
        <v>135</v>
      </c>
      <c r="Q124" s="12" t="n">
        <v>0.8</v>
      </c>
      <c r="R124" s="6" t="s">
        <v>157</v>
      </c>
      <c r="S124" s="7" t="s">
        <v>138</v>
      </c>
    </row>
    <row r="125" customFormat="false" ht="91" hidden="false" customHeight="false" outlineLevel="0" collapsed="false">
      <c r="A125" s="5" t="s">
        <v>10</v>
      </c>
      <c r="B125" s="5" t="s">
        <v>72</v>
      </c>
      <c r="C125" s="5" t="n">
        <v>2</v>
      </c>
      <c r="D125" s="6" t="s">
        <v>75</v>
      </c>
      <c r="E125" s="5" t="s">
        <v>209</v>
      </c>
      <c r="F125" s="5" t="s">
        <v>578</v>
      </c>
      <c r="G125" s="6" t="s">
        <v>579</v>
      </c>
      <c r="H125" s="6" t="s">
        <v>580</v>
      </c>
      <c r="I125" s="5" t="s">
        <v>213</v>
      </c>
      <c r="J125" s="11" t="n">
        <v>46302</v>
      </c>
      <c r="K125" s="5" t="s">
        <v>12</v>
      </c>
      <c r="L125" s="15" t="s">
        <v>132</v>
      </c>
      <c r="M125" s="5" t="s">
        <v>133</v>
      </c>
      <c r="N125" s="5" t="s">
        <v>134</v>
      </c>
      <c r="O125" s="16" t="s">
        <v>391</v>
      </c>
      <c r="P125" s="5" t="s">
        <v>135</v>
      </c>
      <c r="Q125" s="12" t="n">
        <v>0.9</v>
      </c>
      <c r="R125" s="6" t="s">
        <v>581</v>
      </c>
      <c r="S125" s="7" t="s">
        <v>138</v>
      </c>
    </row>
    <row r="126" customFormat="false" ht="23.85" hidden="false" customHeight="false" outlineLevel="0" collapsed="false">
      <c r="A126" s="5" t="s">
        <v>10</v>
      </c>
      <c r="B126" s="5" t="s">
        <v>72</v>
      </c>
      <c r="C126" s="5" t="n">
        <v>2</v>
      </c>
      <c r="D126" s="6" t="s">
        <v>75</v>
      </c>
      <c r="E126" s="5" t="s">
        <v>503</v>
      </c>
      <c r="F126" s="5" t="s">
        <v>582</v>
      </c>
      <c r="G126" s="6" t="s">
        <v>583</v>
      </c>
      <c r="H126" s="6" t="s">
        <v>584</v>
      </c>
      <c r="I126" s="5" t="s">
        <v>213</v>
      </c>
      <c r="J126" s="11" t="n">
        <v>46292</v>
      </c>
      <c r="K126" s="5" t="s">
        <v>12</v>
      </c>
      <c r="L126" s="15" t="s">
        <v>132</v>
      </c>
      <c r="M126" s="5" t="s">
        <v>133</v>
      </c>
      <c r="N126" s="5" t="s">
        <v>134</v>
      </c>
      <c r="O126" s="16" t="s">
        <v>391</v>
      </c>
      <c r="P126" s="5" t="s">
        <v>136</v>
      </c>
      <c r="Q126" s="12" t="n">
        <v>0.8</v>
      </c>
      <c r="R126" s="6" t="s">
        <v>476</v>
      </c>
      <c r="S126" s="7" t="s">
        <v>138</v>
      </c>
    </row>
    <row r="127" customFormat="false" ht="23.85" hidden="false" customHeight="false" outlineLevel="0" collapsed="false">
      <c r="A127" s="5" t="s">
        <v>10</v>
      </c>
      <c r="B127" s="5" t="s">
        <v>72</v>
      </c>
      <c r="C127" s="5" t="n">
        <v>2</v>
      </c>
      <c r="D127" s="6" t="s">
        <v>75</v>
      </c>
      <c r="E127" s="5" t="s">
        <v>503</v>
      </c>
      <c r="F127" s="5" t="s">
        <v>585</v>
      </c>
      <c r="G127" s="6" t="s">
        <v>586</v>
      </c>
      <c r="H127" s="6" t="s">
        <v>587</v>
      </c>
      <c r="I127" s="5" t="s">
        <v>213</v>
      </c>
      <c r="J127" s="11" t="n">
        <v>46292</v>
      </c>
      <c r="K127" s="5" t="s">
        <v>12</v>
      </c>
      <c r="L127" s="15" t="s">
        <v>132</v>
      </c>
      <c r="M127" s="5" t="s">
        <v>133</v>
      </c>
      <c r="N127" s="5" t="s">
        <v>134</v>
      </c>
      <c r="O127" s="16" t="s">
        <v>391</v>
      </c>
      <c r="P127" s="5" t="s">
        <v>136</v>
      </c>
      <c r="Q127" s="12" t="n">
        <v>0.7</v>
      </c>
      <c r="R127" s="6" t="s">
        <v>588</v>
      </c>
      <c r="S127" s="7" t="s">
        <v>138</v>
      </c>
    </row>
    <row r="128" customFormat="false" ht="23.85" hidden="false" customHeight="false" outlineLevel="0" collapsed="false">
      <c r="A128" s="5" t="s">
        <v>10</v>
      </c>
      <c r="B128" s="5" t="s">
        <v>72</v>
      </c>
      <c r="C128" s="5" t="n">
        <v>2</v>
      </c>
      <c r="D128" s="6" t="s">
        <v>75</v>
      </c>
      <c r="E128" s="5" t="s">
        <v>503</v>
      </c>
      <c r="F128" s="5" t="s">
        <v>589</v>
      </c>
      <c r="G128" s="6" t="s">
        <v>590</v>
      </c>
      <c r="H128" s="6" t="s">
        <v>591</v>
      </c>
      <c r="I128" s="5" t="s">
        <v>213</v>
      </c>
      <c r="J128" s="11" t="n">
        <v>46292</v>
      </c>
      <c r="K128" s="5" t="s">
        <v>12</v>
      </c>
      <c r="L128" s="15" t="s">
        <v>132</v>
      </c>
      <c r="M128" s="5" t="s">
        <v>133</v>
      </c>
      <c r="N128" s="5" t="s">
        <v>134</v>
      </c>
      <c r="O128" s="16" t="s">
        <v>391</v>
      </c>
      <c r="P128" s="5" t="s">
        <v>136</v>
      </c>
      <c r="Q128" s="12" t="n">
        <v>0.7</v>
      </c>
      <c r="R128" s="6" t="s">
        <v>588</v>
      </c>
      <c r="S128" s="7" t="s">
        <v>138</v>
      </c>
    </row>
    <row r="129" customFormat="false" ht="23.85" hidden="false" customHeight="false" outlineLevel="0" collapsed="false">
      <c r="A129" s="5" t="s">
        <v>10</v>
      </c>
      <c r="B129" s="5" t="s">
        <v>72</v>
      </c>
      <c r="C129" s="5" t="n">
        <v>2</v>
      </c>
      <c r="D129" s="6" t="s">
        <v>75</v>
      </c>
      <c r="E129" s="5" t="s">
        <v>503</v>
      </c>
      <c r="F129" s="5" t="s">
        <v>592</v>
      </c>
      <c r="G129" s="6" t="s">
        <v>593</v>
      </c>
      <c r="H129" s="6" t="s">
        <v>594</v>
      </c>
      <c r="I129" s="5" t="s">
        <v>213</v>
      </c>
      <c r="J129" s="11" t="n">
        <v>46289</v>
      </c>
      <c r="K129" s="5" t="s">
        <v>12</v>
      </c>
      <c r="L129" s="15" t="s">
        <v>132</v>
      </c>
      <c r="M129" s="5" t="s">
        <v>133</v>
      </c>
      <c r="N129" s="5" t="s">
        <v>134</v>
      </c>
      <c r="O129" s="15" t="s">
        <v>135</v>
      </c>
      <c r="P129" s="5" t="s">
        <v>135</v>
      </c>
      <c r="Q129" s="12" t="n">
        <v>0.7</v>
      </c>
      <c r="R129" s="6" t="s">
        <v>595</v>
      </c>
      <c r="S129" s="7" t="s">
        <v>138</v>
      </c>
    </row>
    <row r="130" customFormat="false" ht="23.85" hidden="false" customHeight="false" outlineLevel="0" collapsed="false">
      <c r="A130" s="5" t="s">
        <v>10</v>
      </c>
      <c r="B130" s="5" t="s">
        <v>72</v>
      </c>
      <c r="C130" s="5" t="n">
        <v>2</v>
      </c>
      <c r="D130" s="6" t="s">
        <v>75</v>
      </c>
      <c r="E130" s="5" t="s">
        <v>146</v>
      </c>
      <c r="F130" s="5" t="s">
        <v>596</v>
      </c>
      <c r="G130" s="6" t="s">
        <v>597</v>
      </c>
      <c r="H130" s="6" t="s">
        <v>598</v>
      </c>
      <c r="I130" s="5" t="s">
        <v>150</v>
      </c>
      <c r="J130" s="11" t="n">
        <v>46292</v>
      </c>
      <c r="K130" s="5" t="s">
        <v>12</v>
      </c>
      <c r="L130" s="15" t="s">
        <v>132</v>
      </c>
      <c r="M130" s="5" t="s">
        <v>133</v>
      </c>
      <c r="N130" s="5" t="s">
        <v>134</v>
      </c>
      <c r="O130" s="16" t="s">
        <v>391</v>
      </c>
      <c r="P130" s="5" t="s">
        <v>135</v>
      </c>
      <c r="Q130" s="12" t="n">
        <v>0.7</v>
      </c>
      <c r="R130" s="6" t="s">
        <v>599</v>
      </c>
      <c r="S130" s="7" t="s">
        <v>138</v>
      </c>
    </row>
    <row r="131" customFormat="false" ht="23.85" hidden="false" customHeight="false" outlineLevel="0" collapsed="false">
      <c r="A131" s="5" t="s">
        <v>10</v>
      </c>
      <c r="B131" s="5" t="s">
        <v>72</v>
      </c>
      <c r="C131" s="5" t="n">
        <v>2</v>
      </c>
      <c r="D131" s="6" t="s">
        <v>75</v>
      </c>
      <c r="E131" s="5" t="s">
        <v>164</v>
      </c>
      <c r="F131" s="5" t="s">
        <v>600</v>
      </c>
      <c r="G131" s="6" t="s">
        <v>601</v>
      </c>
      <c r="H131" s="6" t="s">
        <v>602</v>
      </c>
      <c r="I131" s="5" t="s">
        <v>168</v>
      </c>
      <c r="J131" s="11" t="n">
        <v>46292</v>
      </c>
      <c r="K131" s="5" t="s">
        <v>12</v>
      </c>
      <c r="L131" s="15" t="s">
        <v>132</v>
      </c>
      <c r="M131" s="5" t="s">
        <v>133</v>
      </c>
      <c r="N131" s="5" t="s">
        <v>134</v>
      </c>
      <c r="O131" s="16" t="s">
        <v>391</v>
      </c>
      <c r="P131" s="5" t="s">
        <v>135</v>
      </c>
      <c r="Q131" s="12" t="n">
        <v>0.75</v>
      </c>
      <c r="R131" s="6" t="s">
        <v>603</v>
      </c>
      <c r="S131" s="7" t="s">
        <v>138</v>
      </c>
    </row>
    <row r="132" customFormat="false" ht="23.85" hidden="false" customHeight="false" outlineLevel="0" collapsed="false">
      <c r="A132" s="5" t="s">
        <v>10</v>
      </c>
      <c r="B132" s="5" t="s">
        <v>72</v>
      </c>
      <c r="C132" s="5" t="n">
        <v>2</v>
      </c>
      <c r="D132" s="6" t="s">
        <v>75</v>
      </c>
      <c r="E132" s="5" t="s">
        <v>146</v>
      </c>
      <c r="F132" s="5" t="s">
        <v>604</v>
      </c>
      <c r="G132" s="6" t="s">
        <v>605</v>
      </c>
      <c r="H132" s="6" t="s">
        <v>606</v>
      </c>
      <c r="I132" s="5" t="s">
        <v>150</v>
      </c>
      <c r="J132" s="11" t="n">
        <v>46292</v>
      </c>
      <c r="K132" s="5" t="s">
        <v>12</v>
      </c>
      <c r="L132" s="15" t="s">
        <v>132</v>
      </c>
      <c r="M132" s="5" t="s">
        <v>133</v>
      </c>
      <c r="N132" s="5" t="s">
        <v>134</v>
      </c>
      <c r="O132" s="16" t="s">
        <v>391</v>
      </c>
      <c r="P132" s="5" t="s">
        <v>135</v>
      </c>
      <c r="Q132" s="12" t="n">
        <v>0.8</v>
      </c>
      <c r="R132" s="6" t="s">
        <v>476</v>
      </c>
      <c r="S132" s="7" t="s">
        <v>138</v>
      </c>
    </row>
    <row r="133" customFormat="false" ht="46.25" hidden="false" customHeight="false" outlineLevel="0" collapsed="false">
      <c r="A133" s="5" t="s">
        <v>10</v>
      </c>
      <c r="B133" s="5" t="s">
        <v>72</v>
      </c>
      <c r="C133" s="5" t="n">
        <v>2</v>
      </c>
      <c r="D133" s="6" t="s">
        <v>75</v>
      </c>
      <c r="E133" s="5" t="s">
        <v>127</v>
      </c>
      <c r="F133" s="5" t="s">
        <v>607</v>
      </c>
      <c r="G133" s="6" t="s">
        <v>608</v>
      </c>
      <c r="H133" s="6" t="s">
        <v>609</v>
      </c>
      <c r="I133" s="5" t="s">
        <v>131</v>
      </c>
      <c r="J133" s="11" t="n">
        <v>46296</v>
      </c>
      <c r="K133" s="5" t="s">
        <v>12</v>
      </c>
      <c r="L133" s="15" t="s">
        <v>132</v>
      </c>
      <c r="M133" s="5" t="s">
        <v>133</v>
      </c>
      <c r="N133" s="5" t="s">
        <v>134</v>
      </c>
      <c r="O133" s="16" t="s">
        <v>391</v>
      </c>
      <c r="P133" s="5" t="s">
        <v>136</v>
      </c>
      <c r="Q133" s="12" t="n">
        <v>0.85</v>
      </c>
      <c r="R133" s="6" t="s">
        <v>610</v>
      </c>
      <c r="S133" s="7" t="s">
        <v>138</v>
      </c>
    </row>
    <row r="134" customFormat="false" ht="35.05" hidden="false" customHeight="false" outlineLevel="0" collapsed="false">
      <c r="A134" s="5" t="s">
        <v>10</v>
      </c>
      <c r="B134" s="5" t="s">
        <v>72</v>
      </c>
      <c r="C134" s="5" t="n">
        <v>2</v>
      </c>
      <c r="D134" s="6" t="s">
        <v>75</v>
      </c>
      <c r="E134" s="5" t="s">
        <v>164</v>
      </c>
      <c r="F134" s="5" t="s">
        <v>611</v>
      </c>
      <c r="G134" s="6" t="s">
        <v>612</v>
      </c>
      <c r="H134" s="6" t="s">
        <v>613</v>
      </c>
      <c r="I134" s="5" t="s">
        <v>168</v>
      </c>
      <c r="J134" s="11" t="n">
        <v>46296</v>
      </c>
      <c r="K134" s="5" t="s">
        <v>12</v>
      </c>
      <c r="L134" s="15" t="s">
        <v>132</v>
      </c>
      <c r="M134" s="5" t="s">
        <v>133</v>
      </c>
      <c r="N134" s="5" t="s">
        <v>134</v>
      </c>
      <c r="O134" s="16" t="s">
        <v>391</v>
      </c>
      <c r="P134" s="5" t="s">
        <v>135</v>
      </c>
      <c r="Q134" s="12" t="n">
        <v>0.75</v>
      </c>
      <c r="R134" s="6" t="s">
        <v>614</v>
      </c>
      <c r="S134" s="7" t="s">
        <v>138</v>
      </c>
    </row>
    <row r="135" customFormat="false" ht="23.85" hidden="false" customHeight="false" outlineLevel="0" collapsed="false">
      <c r="A135" s="5" t="s">
        <v>10</v>
      </c>
      <c r="B135" s="5" t="s">
        <v>72</v>
      </c>
      <c r="C135" s="5" t="n">
        <v>2</v>
      </c>
      <c r="D135" s="6" t="s">
        <v>75</v>
      </c>
      <c r="E135" s="5" t="s">
        <v>127</v>
      </c>
      <c r="F135" s="5" t="s">
        <v>615</v>
      </c>
      <c r="G135" s="6" t="s">
        <v>616</v>
      </c>
      <c r="H135" s="6" t="s">
        <v>617</v>
      </c>
      <c r="I135" s="5" t="s">
        <v>131</v>
      </c>
      <c r="J135" s="11" t="n">
        <v>46289</v>
      </c>
      <c r="K135" s="5" t="s">
        <v>12</v>
      </c>
      <c r="L135" s="15" t="s">
        <v>132</v>
      </c>
      <c r="M135" s="5" t="s">
        <v>133</v>
      </c>
      <c r="N135" s="5" t="s">
        <v>134</v>
      </c>
      <c r="O135" s="15" t="s">
        <v>135</v>
      </c>
      <c r="P135" s="5" t="s">
        <v>135</v>
      </c>
      <c r="Q135" s="12" t="n">
        <v>0.8</v>
      </c>
      <c r="R135" s="6" t="s">
        <v>618</v>
      </c>
      <c r="S135" s="7" t="s">
        <v>138</v>
      </c>
    </row>
    <row r="136" customFormat="false" ht="23.85" hidden="false" customHeight="false" outlineLevel="0" collapsed="false">
      <c r="A136" s="5" t="s">
        <v>10</v>
      </c>
      <c r="B136" s="5" t="s">
        <v>72</v>
      </c>
      <c r="C136" s="5" t="n">
        <v>2</v>
      </c>
      <c r="D136" s="6" t="s">
        <v>75</v>
      </c>
      <c r="E136" s="5" t="s">
        <v>127</v>
      </c>
      <c r="F136" s="5" t="s">
        <v>619</v>
      </c>
      <c r="G136" s="6" t="s">
        <v>620</v>
      </c>
      <c r="H136" s="6" t="s">
        <v>621</v>
      </c>
      <c r="I136" s="5" t="s">
        <v>131</v>
      </c>
      <c r="J136" s="11" t="n">
        <v>46292</v>
      </c>
      <c r="K136" s="5" t="s">
        <v>12</v>
      </c>
      <c r="L136" s="15" t="s">
        <v>132</v>
      </c>
      <c r="M136" s="5" t="s">
        <v>133</v>
      </c>
      <c r="N136" s="5" t="s">
        <v>134</v>
      </c>
      <c r="O136" s="16" t="s">
        <v>391</v>
      </c>
      <c r="P136" s="5" t="s">
        <v>136</v>
      </c>
      <c r="Q136" s="12" t="n">
        <v>0.75</v>
      </c>
      <c r="R136" s="6" t="s">
        <v>622</v>
      </c>
      <c r="S136" s="7" t="s">
        <v>138</v>
      </c>
    </row>
    <row r="137" customFormat="false" ht="35.05" hidden="false" customHeight="false" outlineLevel="0" collapsed="false">
      <c r="A137" s="5" t="s">
        <v>10</v>
      </c>
      <c r="B137" s="5" t="s">
        <v>72</v>
      </c>
      <c r="C137" s="5" t="n">
        <v>2</v>
      </c>
      <c r="D137" s="6" t="s">
        <v>75</v>
      </c>
      <c r="E137" s="5" t="s">
        <v>260</v>
      </c>
      <c r="F137" s="5" t="s">
        <v>623</v>
      </c>
      <c r="G137" s="6" t="s">
        <v>624</v>
      </c>
      <c r="H137" s="6" t="s">
        <v>625</v>
      </c>
      <c r="I137" s="5" t="s">
        <v>183</v>
      </c>
      <c r="J137" s="11" t="n">
        <v>46296</v>
      </c>
      <c r="K137" s="5" t="s">
        <v>12</v>
      </c>
      <c r="L137" s="15" t="s">
        <v>132</v>
      </c>
      <c r="M137" s="5" t="s">
        <v>133</v>
      </c>
      <c r="N137" s="5" t="s">
        <v>134</v>
      </c>
      <c r="O137" s="16" t="s">
        <v>391</v>
      </c>
      <c r="P137" s="5" t="s">
        <v>136</v>
      </c>
      <c r="Q137" s="12" t="n">
        <v>0.85</v>
      </c>
      <c r="R137" s="6" t="s">
        <v>476</v>
      </c>
      <c r="S137" s="7" t="s">
        <v>138</v>
      </c>
    </row>
    <row r="138" customFormat="false" ht="35.05" hidden="false" customHeight="false" outlineLevel="0" collapsed="false">
      <c r="A138" s="5" t="s">
        <v>10</v>
      </c>
      <c r="B138" s="5" t="s">
        <v>72</v>
      </c>
      <c r="C138" s="5" t="n">
        <v>2</v>
      </c>
      <c r="D138" s="6" t="s">
        <v>75</v>
      </c>
      <c r="E138" s="5" t="s">
        <v>127</v>
      </c>
      <c r="F138" s="5" t="s">
        <v>626</v>
      </c>
      <c r="G138" s="6" t="s">
        <v>627</v>
      </c>
      <c r="H138" s="6" t="s">
        <v>628</v>
      </c>
      <c r="I138" s="5" t="s">
        <v>131</v>
      </c>
      <c r="J138" s="11" t="n">
        <v>46296</v>
      </c>
      <c r="K138" s="5" t="s">
        <v>12</v>
      </c>
      <c r="L138" s="15" t="s">
        <v>132</v>
      </c>
      <c r="M138" s="5" t="s">
        <v>133</v>
      </c>
      <c r="N138" s="5" t="s">
        <v>134</v>
      </c>
      <c r="O138" s="16" t="s">
        <v>391</v>
      </c>
      <c r="P138" s="5" t="s">
        <v>136</v>
      </c>
      <c r="Q138" s="12" t="n">
        <v>0.85</v>
      </c>
      <c r="R138" s="6" t="s">
        <v>629</v>
      </c>
      <c r="S138" s="7" t="s">
        <v>138</v>
      </c>
    </row>
    <row r="139" customFormat="false" ht="23.85" hidden="false" customHeight="false" outlineLevel="0" collapsed="false">
      <c r="A139" s="5" t="s">
        <v>10</v>
      </c>
      <c r="B139" s="5" t="s">
        <v>72</v>
      </c>
      <c r="C139" s="5" t="n">
        <v>2</v>
      </c>
      <c r="D139" s="6" t="s">
        <v>75</v>
      </c>
      <c r="E139" s="5" t="s">
        <v>127</v>
      </c>
      <c r="F139" s="5" t="s">
        <v>630</v>
      </c>
      <c r="G139" s="6" t="s">
        <v>631</v>
      </c>
      <c r="H139" s="6" t="s">
        <v>632</v>
      </c>
      <c r="I139" s="5" t="s">
        <v>131</v>
      </c>
      <c r="J139" s="11" t="n">
        <v>46292</v>
      </c>
      <c r="K139" s="5" t="s">
        <v>12</v>
      </c>
      <c r="L139" s="15" t="s">
        <v>132</v>
      </c>
      <c r="M139" s="5" t="s">
        <v>133</v>
      </c>
      <c r="N139" s="5" t="s">
        <v>134</v>
      </c>
      <c r="O139" s="16" t="s">
        <v>391</v>
      </c>
      <c r="P139" s="5" t="s">
        <v>136</v>
      </c>
      <c r="Q139" s="12" t="n">
        <v>0.8</v>
      </c>
      <c r="R139" s="6" t="s">
        <v>633</v>
      </c>
      <c r="S139" s="7" t="s">
        <v>138</v>
      </c>
    </row>
    <row r="140" customFormat="false" ht="35.05" hidden="false" customHeight="false" outlineLevel="0" collapsed="false">
      <c r="A140" s="5" t="s">
        <v>10</v>
      </c>
      <c r="B140" s="5" t="s">
        <v>72</v>
      </c>
      <c r="C140" s="5" t="n">
        <v>2</v>
      </c>
      <c r="D140" s="6" t="s">
        <v>75</v>
      </c>
      <c r="E140" s="5" t="s">
        <v>127</v>
      </c>
      <c r="F140" s="5" t="s">
        <v>634</v>
      </c>
      <c r="G140" s="6" t="s">
        <v>635</v>
      </c>
      <c r="H140" s="6" t="s">
        <v>636</v>
      </c>
      <c r="I140" s="5" t="s">
        <v>131</v>
      </c>
      <c r="J140" s="11" t="n">
        <v>46296</v>
      </c>
      <c r="K140" s="5" t="s">
        <v>12</v>
      </c>
      <c r="L140" s="15" t="s">
        <v>132</v>
      </c>
      <c r="M140" s="5" t="s">
        <v>133</v>
      </c>
      <c r="N140" s="5" t="s">
        <v>134</v>
      </c>
      <c r="O140" s="16" t="s">
        <v>391</v>
      </c>
      <c r="P140" s="5" t="s">
        <v>135</v>
      </c>
      <c r="Q140" s="12" t="n">
        <v>0.8</v>
      </c>
      <c r="R140" s="6" t="s">
        <v>637</v>
      </c>
      <c r="S140" s="7" t="s">
        <v>138</v>
      </c>
    </row>
    <row r="141" customFormat="false" ht="35.05" hidden="false" customHeight="false" outlineLevel="0" collapsed="false">
      <c r="A141" s="5" t="s">
        <v>10</v>
      </c>
      <c r="B141" s="5" t="s">
        <v>72</v>
      </c>
      <c r="C141" s="5" t="n">
        <v>2</v>
      </c>
      <c r="D141" s="6" t="s">
        <v>75</v>
      </c>
      <c r="E141" s="5" t="s">
        <v>164</v>
      </c>
      <c r="F141" s="5" t="s">
        <v>638</v>
      </c>
      <c r="G141" s="6" t="s">
        <v>639</v>
      </c>
      <c r="H141" s="6" t="s">
        <v>640</v>
      </c>
      <c r="I141" s="5" t="s">
        <v>168</v>
      </c>
      <c r="J141" s="11" t="n">
        <v>46296</v>
      </c>
      <c r="K141" s="5" t="s">
        <v>12</v>
      </c>
      <c r="L141" s="15" t="s">
        <v>132</v>
      </c>
      <c r="M141" s="5" t="s">
        <v>133</v>
      </c>
      <c r="N141" s="5" t="s">
        <v>134</v>
      </c>
      <c r="O141" s="16" t="s">
        <v>391</v>
      </c>
      <c r="P141" s="5" t="s">
        <v>135</v>
      </c>
      <c r="Q141" s="12" t="n">
        <v>0.8</v>
      </c>
      <c r="R141" s="6" t="s">
        <v>641</v>
      </c>
      <c r="S141" s="7" t="s">
        <v>138</v>
      </c>
    </row>
    <row r="142" customFormat="false" ht="46.25" hidden="false" customHeight="false" outlineLevel="0" collapsed="false">
      <c r="A142" s="5" t="s">
        <v>10</v>
      </c>
      <c r="B142" s="5" t="s">
        <v>72</v>
      </c>
      <c r="C142" s="5" t="n">
        <v>2</v>
      </c>
      <c r="D142" s="6" t="s">
        <v>75</v>
      </c>
      <c r="E142" s="5" t="s">
        <v>642</v>
      </c>
      <c r="F142" s="5" t="s">
        <v>643</v>
      </c>
      <c r="G142" s="6" t="s">
        <v>644</v>
      </c>
      <c r="H142" s="6" t="s">
        <v>645</v>
      </c>
      <c r="I142" s="5" t="s">
        <v>131</v>
      </c>
      <c r="J142" s="11" t="n">
        <v>46296</v>
      </c>
      <c r="K142" s="5" t="s">
        <v>12</v>
      </c>
      <c r="L142" s="15" t="s">
        <v>132</v>
      </c>
      <c r="M142" s="5" t="s">
        <v>133</v>
      </c>
      <c r="N142" s="5" t="s">
        <v>134</v>
      </c>
      <c r="O142" s="16" t="s">
        <v>391</v>
      </c>
      <c r="P142" s="5" t="s">
        <v>135</v>
      </c>
      <c r="Q142" s="12" t="n">
        <v>0.75</v>
      </c>
      <c r="R142" s="6" t="s">
        <v>646</v>
      </c>
      <c r="S142" s="7" t="s">
        <v>138</v>
      </c>
    </row>
    <row r="143" customFormat="false" ht="35.05" hidden="false" customHeight="false" outlineLevel="0" collapsed="false">
      <c r="A143" s="5" t="s">
        <v>10</v>
      </c>
      <c r="B143" s="5" t="s">
        <v>72</v>
      </c>
      <c r="C143" s="5" t="n">
        <v>3</v>
      </c>
      <c r="D143" s="6" t="s">
        <v>76</v>
      </c>
      <c r="E143" s="5" t="s">
        <v>194</v>
      </c>
      <c r="F143" s="5" t="s">
        <v>647</v>
      </c>
      <c r="G143" s="6" t="s">
        <v>648</v>
      </c>
      <c r="H143" s="6" t="s">
        <v>649</v>
      </c>
      <c r="I143" s="5" t="s">
        <v>198</v>
      </c>
      <c r="J143" s="11" t="n">
        <v>46289</v>
      </c>
      <c r="K143" s="5" t="s">
        <v>12</v>
      </c>
      <c r="L143" s="15" t="s">
        <v>132</v>
      </c>
      <c r="M143" s="5" t="s">
        <v>133</v>
      </c>
      <c r="N143" s="5" t="s">
        <v>134</v>
      </c>
      <c r="O143" s="15" t="s">
        <v>135</v>
      </c>
      <c r="P143" s="5" t="s">
        <v>135</v>
      </c>
      <c r="Q143" s="12" t="n">
        <v>0.8</v>
      </c>
      <c r="R143" s="6" t="s">
        <v>650</v>
      </c>
      <c r="S143" s="7" t="s">
        <v>138</v>
      </c>
    </row>
    <row r="144" customFormat="false" ht="15" hidden="false" customHeight="false" outlineLevel="0" collapsed="false">
      <c r="A144" s="5" t="s">
        <v>10</v>
      </c>
      <c r="B144" s="5" t="s">
        <v>72</v>
      </c>
      <c r="C144" s="5" t="n">
        <v>3</v>
      </c>
      <c r="D144" s="6" t="s">
        <v>76</v>
      </c>
      <c r="E144" s="5" t="s">
        <v>194</v>
      </c>
      <c r="F144" s="5" t="s">
        <v>651</v>
      </c>
      <c r="G144" s="6" t="s">
        <v>652</v>
      </c>
      <c r="H144" s="6" t="s">
        <v>653</v>
      </c>
      <c r="I144" s="5" t="s">
        <v>198</v>
      </c>
      <c r="J144" s="11" t="n">
        <v>46289</v>
      </c>
      <c r="K144" s="5" t="s">
        <v>12</v>
      </c>
      <c r="L144" s="15" t="s">
        <v>132</v>
      </c>
      <c r="M144" s="5" t="s">
        <v>133</v>
      </c>
      <c r="N144" s="5" t="s">
        <v>134</v>
      </c>
      <c r="O144" s="15" t="s">
        <v>135</v>
      </c>
      <c r="P144" s="5" t="s">
        <v>135</v>
      </c>
      <c r="Q144" s="12" t="n">
        <v>0.7</v>
      </c>
      <c r="R144" s="6" t="s">
        <v>654</v>
      </c>
      <c r="S144" s="7" t="s">
        <v>138</v>
      </c>
    </row>
    <row r="145" customFormat="false" ht="35.05" hidden="false" customHeight="false" outlineLevel="0" collapsed="false">
      <c r="A145" s="5" t="s">
        <v>10</v>
      </c>
      <c r="B145" s="5" t="s">
        <v>72</v>
      </c>
      <c r="C145" s="5" t="n">
        <v>3</v>
      </c>
      <c r="D145" s="6" t="s">
        <v>76</v>
      </c>
      <c r="E145" s="5" t="s">
        <v>655</v>
      </c>
      <c r="F145" s="5" t="s">
        <v>656</v>
      </c>
      <c r="G145" s="6" t="s">
        <v>657</v>
      </c>
      <c r="H145" s="6" t="s">
        <v>658</v>
      </c>
      <c r="I145" s="5" t="s">
        <v>198</v>
      </c>
      <c r="J145" s="11" t="n">
        <v>46302</v>
      </c>
      <c r="K145" s="5" t="s">
        <v>12</v>
      </c>
      <c r="L145" s="15" t="s">
        <v>132</v>
      </c>
      <c r="M145" s="5" t="s">
        <v>133</v>
      </c>
      <c r="N145" s="5" t="s">
        <v>134</v>
      </c>
      <c r="O145" s="15" t="s">
        <v>135</v>
      </c>
      <c r="P145" s="5" t="s">
        <v>135</v>
      </c>
      <c r="Q145" s="12" t="n">
        <v>0.85</v>
      </c>
      <c r="R145" s="6" t="s">
        <v>659</v>
      </c>
      <c r="S145" s="7" t="s">
        <v>138</v>
      </c>
    </row>
    <row r="146" customFormat="false" ht="23.85" hidden="false" customHeight="false" outlineLevel="0" collapsed="false">
      <c r="A146" s="5" t="s">
        <v>10</v>
      </c>
      <c r="B146" s="5" t="s">
        <v>72</v>
      </c>
      <c r="C146" s="5" t="n">
        <v>3</v>
      </c>
      <c r="D146" s="6" t="s">
        <v>76</v>
      </c>
      <c r="E146" s="5" t="s">
        <v>655</v>
      </c>
      <c r="F146" s="5" t="s">
        <v>660</v>
      </c>
      <c r="G146" s="6" t="s">
        <v>661</v>
      </c>
      <c r="H146" s="6" t="s">
        <v>662</v>
      </c>
      <c r="I146" s="5" t="s">
        <v>198</v>
      </c>
      <c r="J146" s="11" t="n">
        <v>46289</v>
      </c>
      <c r="K146" s="5" t="s">
        <v>12</v>
      </c>
      <c r="L146" s="15" t="s">
        <v>132</v>
      </c>
      <c r="M146" s="5" t="s">
        <v>133</v>
      </c>
      <c r="N146" s="5" t="s">
        <v>134</v>
      </c>
      <c r="O146" s="15" t="s">
        <v>135</v>
      </c>
      <c r="P146" s="5" t="s">
        <v>135</v>
      </c>
      <c r="Q146" s="12" t="n">
        <v>0.85</v>
      </c>
      <c r="R146" s="6" t="s">
        <v>663</v>
      </c>
      <c r="S146" s="7" t="s">
        <v>138</v>
      </c>
    </row>
    <row r="147" customFormat="false" ht="15" hidden="false" customHeight="false" outlineLevel="0" collapsed="false">
      <c r="A147" s="5" t="s">
        <v>10</v>
      </c>
      <c r="B147" s="5" t="s">
        <v>72</v>
      </c>
      <c r="C147" s="5" t="n">
        <v>3</v>
      </c>
      <c r="D147" s="6" t="s">
        <v>76</v>
      </c>
      <c r="E147" s="5" t="s">
        <v>655</v>
      </c>
      <c r="F147" s="5" t="s">
        <v>664</v>
      </c>
      <c r="G147" s="6" t="s">
        <v>665</v>
      </c>
      <c r="H147" s="6" t="s">
        <v>666</v>
      </c>
      <c r="I147" s="5" t="s">
        <v>198</v>
      </c>
      <c r="J147" s="11" t="n">
        <v>46289</v>
      </c>
      <c r="K147" s="5" t="s">
        <v>12</v>
      </c>
      <c r="L147" s="15" t="s">
        <v>132</v>
      </c>
      <c r="M147" s="5" t="s">
        <v>133</v>
      </c>
      <c r="N147" s="5" t="s">
        <v>134</v>
      </c>
      <c r="O147" s="15" t="s">
        <v>135</v>
      </c>
      <c r="P147" s="5" t="s">
        <v>136</v>
      </c>
      <c r="Q147" s="12" t="n">
        <v>0.85</v>
      </c>
      <c r="R147" s="6" t="s">
        <v>667</v>
      </c>
      <c r="S147" s="7" t="s">
        <v>138</v>
      </c>
    </row>
    <row r="148" customFormat="false" ht="23.85" hidden="false" customHeight="false" outlineLevel="0" collapsed="false">
      <c r="A148" s="5" t="s">
        <v>10</v>
      </c>
      <c r="B148" s="5" t="s">
        <v>72</v>
      </c>
      <c r="C148" s="5" t="n">
        <v>3</v>
      </c>
      <c r="D148" s="6" t="s">
        <v>76</v>
      </c>
      <c r="E148" s="5" t="s">
        <v>655</v>
      </c>
      <c r="F148" s="5" t="s">
        <v>668</v>
      </c>
      <c r="G148" s="6" t="s">
        <v>669</v>
      </c>
      <c r="H148" s="6" t="s">
        <v>670</v>
      </c>
      <c r="I148" s="5" t="s">
        <v>198</v>
      </c>
      <c r="J148" s="11" t="n">
        <v>46289</v>
      </c>
      <c r="K148" s="5" t="s">
        <v>12</v>
      </c>
      <c r="L148" s="15" t="s">
        <v>132</v>
      </c>
      <c r="M148" s="5" t="s">
        <v>133</v>
      </c>
      <c r="N148" s="5" t="s">
        <v>134</v>
      </c>
      <c r="O148" s="15" t="s">
        <v>135</v>
      </c>
      <c r="P148" s="5" t="s">
        <v>136</v>
      </c>
      <c r="Q148" s="12" t="n">
        <v>0.85</v>
      </c>
      <c r="R148" s="6" t="s">
        <v>671</v>
      </c>
      <c r="S148" s="7" t="s">
        <v>138</v>
      </c>
    </row>
    <row r="149" customFormat="false" ht="15" hidden="false" customHeight="false" outlineLevel="0" collapsed="false">
      <c r="A149" s="5" t="s">
        <v>10</v>
      </c>
      <c r="B149" s="5" t="s">
        <v>72</v>
      </c>
      <c r="C149" s="5" t="n">
        <v>3</v>
      </c>
      <c r="D149" s="6" t="s">
        <v>76</v>
      </c>
      <c r="E149" s="5" t="s">
        <v>655</v>
      </c>
      <c r="F149" s="5" t="s">
        <v>672</v>
      </c>
      <c r="G149" s="6" t="s">
        <v>673</v>
      </c>
      <c r="H149" s="6" t="s">
        <v>674</v>
      </c>
      <c r="I149" s="5" t="s">
        <v>198</v>
      </c>
      <c r="J149" s="11" t="n">
        <v>46289</v>
      </c>
      <c r="K149" s="5" t="s">
        <v>12</v>
      </c>
      <c r="L149" s="15" t="s">
        <v>132</v>
      </c>
      <c r="M149" s="5" t="s">
        <v>133</v>
      </c>
      <c r="N149" s="5" t="s">
        <v>134</v>
      </c>
      <c r="O149" s="15" t="s">
        <v>135</v>
      </c>
      <c r="P149" s="5" t="s">
        <v>136</v>
      </c>
      <c r="Q149" s="12" t="n">
        <v>0.75</v>
      </c>
      <c r="R149" s="6" t="s">
        <v>675</v>
      </c>
      <c r="S149" s="7" t="s">
        <v>138</v>
      </c>
    </row>
    <row r="150" customFormat="false" ht="46.25" hidden="false" customHeight="false" outlineLevel="0" collapsed="false">
      <c r="A150" s="5" t="s">
        <v>10</v>
      </c>
      <c r="B150" s="5" t="s">
        <v>72</v>
      </c>
      <c r="C150" s="5" t="n">
        <v>3</v>
      </c>
      <c r="D150" s="6" t="s">
        <v>76</v>
      </c>
      <c r="E150" s="5" t="s">
        <v>655</v>
      </c>
      <c r="F150" s="5" t="s">
        <v>676</v>
      </c>
      <c r="G150" s="6" t="s">
        <v>677</v>
      </c>
      <c r="H150" s="6" t="s">
        <v>678</v>
      </c>
      <c r="I150" s="5" t="s">
        <v>198</v>
      </c>
      <c r="J150" s="11" t="n">
        <v>46289</v>
      </c>
      <c r="K150" s="5" t="s">
        <v>12</v>
      </c>
      <c r="L150" s="15" t="s">
        <v>132</v>
      </c>
      <c r="M150" s="5" t="s">
        <v>133</v>
      </c>
      <c r="N150" s="5" t="s">
        <v>134</v>
      </c>
      <c r="O150" s="15" t="s">
        <v>135</v>
      </c>
      <c r="P150" s="5" t="s">
        <v>135</v>
      </c>
      <c r="Q150" s="12" t="n">
        <v>0.85</v>
      </c>
      <c r="R150" s="6" t="s">
        <v>679</v>
      </c>
      <c r="S150" s="7" t="s">
        <v>138</v>
      </c>
    </row>
    <row r="151" customFormat="false" ht="35.05" hidden="false" customHeight="false" outlineLevel="0" collapsed="false">
      <c r="A151" s="5" t="s">
        <v>10</v>
      </c>
      <c r="B151" s="5" t="s">
        <v>72</v>
      </c>
      <c r="C151" s="5" t="n">
        <v>3</v>
      </c>
      <c r="D151" s="6" t="s">
        <v>76</v>
      </c>
      <c r="E151" s="5" t="s">
        <v>655</v>
      </c>
      <c r="F151" s="5" t="s">
        <v>680</v>
      </c>
      <c r="G151" s="6" t="s">
        <v>681</v>
      </c>
      <c r="H151" s="6" t="s">
        <v>682</v>
      </c>
      <c r="I151" s="5" t="s">
        <v>198</v>
      </c>
      <c r="J151" s="11" t="n">
        <v>46289</v>
      </c>
      <c r="K151" s="5" t="s">
        <v>12</v>
      </c>
      <c r="L151" s="15" t="s">
        <v>132</v>
      </c>
      <c r="M151" s="5" t="s">
        <v>133</v>
      </c>
      <c r="N151" s="5" t="s">
        <v>134</v>
      </c>
      <c r="O151" s="15" t="s">
        <v>135</v>
      </c>
      <c r="P151" s="5" t="s">
        <v>136</v>
      </c>
      <c r="Q151" s="12" t="n">
        <v>0.75</v>
      </c>
      <c r="R151" s="6" t="s">
        <v>683</v>
      </c>
      <c r="S151" s="7" t="s">
        <v>138</v>
      </c>
    </row>
    <row r="152" customFormat="false" ht="35.05" hidden="false" customHeight="false" outlineLevel="0" collapsed="false">
      <c r="A152" s="5" t="s">
        <v>10</v>
      </c>
      <c r="B152" s="5" t="s">
        <v>72</v>
      </c>
      <c r="C152" s="5" t="n">
        <v>3</v>
      </c>
      <c r="D152" s="6" t="s">
        <v>76</v>
      </c>
      <c r="E152" s="5" t="s">
        <v>655</v>
      </c>
      <c r="F152" s="5" t="s">
        <v>684</v>
      </c>
      <c r="G152" s="6" t="s">
        <v>685</v>
      </c>
      <c r="H152" s="6" t="s">
        <v>686</v>
      </c>
      <c r="I152" s="5" t="s">
        <v>198</v>
      </c>
      <c r="J152" s="11" t="n">
        <v>46289</v>
      </c>
      <c r="K152" s="5" t="s">
        <v>12</v>
      </c>
      <c r="L152" s="15" t="s">
        <v>132</v>
      </c>
      <c r="M152" s="5" t="s">
        <v>133</v>
      </c>
      <c r="N152" s="5" t="s">
        <v>134</v>
      </c>
      <c r="O152" s="15" t="s">
        <v>135</v>
      </c>
      <c r="P152" s="5" t="s">
        <v>136</v>
      </c>
      <c r="Q152" s="12" t="n">
        <v>0.75</v>
      </c>
      <c r="R152" s="6" t="s">
        <v>687</v>
      </c>
      <c r="S152" s="7" t="s">
        <v>138</v>
      </c>
    </row>
    <row r="153" customFormat="false" ht="46.25" hidden="false" customHeight="false" outlineLevel="0" collapsed="false">
      <c r="A153" s="5" t="s">
        <v>10</v>
      </c>
      <c r="B153" s="5" t="s">
        <v>72</v>
      </c>
      <c r="C153" s="5" t="n">
        <v>3</v>
      </c>
      <c r="D153" s="6" t="s">
        <v>76</v>
      </c>
      <c r="E153" s="5" t="s">
        <v>655</v>
      </c>
      <c r="F153" s="5" t="s">
        <v>688</v>
      </c>
      <c r="G153" s="6" t="s">
        <v>689</v>
      </c>
      <c r="H153" s="6" t="s">
        <v>690</v>
      </c>
      <c r="I153" s="5" t="s">
        <v>198</v>
      </c>
      <c r="J153" s="11" t="n">
        <v>46289</v>
      </c>
      <c r="K153" s="5" t="s">
        <v>12</v>
      </c>
      <c r="L153" s="15" t="s">
        <v>132</v>
      </c>
      <c r="M153" s="5" t="s">
        <v>133</v>
      </c>
      <c r="N153" s="5" t="s">
        <v>134</v>
      </c>
      <c r="O153" s="15" t="s">
        <v>135</v>
      </c>
      <c r="P153" s="5" t="s">
        <v>136</v>
      </c>
      <c r="Q153" s="12" t="n">
        <v>0.75</v>
      </c>
      <c r="R153" s="6" t="s">
        <v>691</v>
      </c>
      <c r="S153" s="7" t="s">
        <v>138</v>
      </c>
    </row>
    <row r="154" customFormat="false" ht="68.65" hidden="false" customHeight="false" outlineLevel="0" collapsed="false">
      <c r="A154" s="5" t="s">
        <v>10</v>
      </c>
      <c r="B154" s="5" t="s">
        <v>72</v>
      </c>
      <c r="C154" s="5" t="n">
        <v>3</v>
      </c>
      <c r="D154" s="6" t="s">
        <v>76</v>
      </c>
      <c r="E154" s="5" t="s">
        <v>194</v>
      </c>
      <c r="F154" s="5" t="s">
        <v>692</v>
      </c>
      <c r="G154" s="6" t="s">
        <v>693</v>
      </c>
      <c r="H154" s="6" t="s">
        <v>694</v>
      </c>
      <c r="I154" s="5" t="s">
        <v>198</v>
      </c>
      <c r="J154" s="11" t="n">
        <v>46296</v>
      </c>
      <c r="K154" s="5" t="s">
        <v>12</v>
      </c>
      <c r="L154" s="15" t="s">
        <v>132</v>
      </c>
      <c r="M154" s="5" t="s">
        <v>133</v>
      </c>
      <c r="N154" s="5" t="s">
        <v>134</v>
      </c>
      <c r="O154" s="16" t="s">
        <v>391</v>
      </c>
      <c r="P154" s="5" t="s">
        <v>136</v>
      </c>
      <c r="Q154" s="12" t="n">
        <v>0.85</v>
      </c>
      <c r="R154" s="6" t="s">
        <v>695</v>
      </c>
      <c r="S154" s="7" t="s">
        <v>138</v>
      </c>
    </row>
    <row r="155" customFormat="false" ht="46.25" hidden="false" customHeight="false" outlineLevel="0" collapsed="false">
      <c r="A155" s="5" t="s">
        <v>10</v>
      </c>
      <c r="B155" s="5" t="s">
        <v>72</v>
      </c>
      <c r="C155" s="5" t="n">
        <v>3</v>
      </c>
      <c r="D155" s="6" t="s">
        <v>76</v>
      </c>
      <c r="E155" s="5" t="s">
        <v>260</v>
      </c>
      <c r="F155" s="5" t="s">
        <v>696</v>
      </c>
      <c r="G155" s="6" t="s">
        <v>697</v>
      </c>
      <c r="H155" s="6" t="s">
        <v>698</v>
      </c>
      <c r="I155" s="5" t="s">
        <v>183</v>
      </c>
      <c r="J155" s="11" t="n">
        <v>46296</v>
      </c>
      <c r="K155" s="5" t="s">
        <v>12</v>
      </c>
      <c r="L155" s="15" t="s">
        <v>132</v>
      </c>
      <c r="M155" s="5" t="s">
        <v>133</v>
      </c>
      <c r="N155" s="5" t="s">
        <v>134</v>
      </c>
      <c r="O155" s="16" t="s">
        <v>391</v>
      </c>
      <c r="P155" s="5" t="s">
        <v>135</v>
      </c>
      <c r="Q155" s="12" t="n">
        <v>0.85</v>
      </c>
      <c r="R155" s="6" t="s">
        <v>476</v>
      </c>
      <c r="S155" s="7" t="s">
        <v>138</v>
      </c>
    </row>
    <row r="156" customFormat="false" ht="46.25" hidden="false" customHeight="false" outlineLevel="0" collapsed="false">
      <c r="A156" s="5" t="s">
        <v>10</v>
      </c>
      <c r="B156" s="5" t="s">
        <v>72</v>
      </c>
      <c r="C156" s="5" t="n">
        <v>3</v>
      </c>
      <c r="D156" s="6" t="s">
        <v>76</v>
      </c>
      <c r="E156" s="5" t="s">
        <v>260</v>
      </c>
      <c r="F156" s="5" t="s">
        <v>699</v>
      </c>
      <c r="G156" s="6" t="s">
        <v>700</v>
      </c>
      <c r="H156" s="6" t="s">
        <v>701</v>
      </c>
      <c r="I156" s="5" t="s">
        <v>183</v>
      </c>
      <c r="J156" s="11" t="n">
        <v>46296</v>
      </c>
      <c r="K156" s="5" t="s">
        <v>12</v>
      </c>
      <c r="L156" s="15" t="s">
        <v>132</v>
      </c>
      <c r="M156" s="5" t="s">
        <v>133</v>
      </c>
      <c r="N156" s="5" t="s">
        <v>134</v>
      </c>
      <c r="O156" s="16" t="s">
        <v>391</v>
      </c>
      <c r="P156" s="5" t="s">
        <v>135</v>
      </c>
      <c r="Q156" s="12" t="n">
        <v>0.8</v>
      </c>
      <c r="R156" s="6" t="s">
        <v>702</v>
      </c>
      <c r="S156" s="7" t="s">
        <v>138</v>
      </c>
    </row>
    <row r="157" customFormat="false" ht="35.05" hidden="false" customHeight="false" outlineLevel="0" collapsed="false">
      <c r="A157" s="5" t="s">
        <v>10</v>
      </c>
      <c r="B157" s="5" t="s">
        <v>72</v>
      </c>
      <c r="C157" s="5" t="n">
        <v>4</v>
      </c>
      <c r="D157" s="6" t="s">
        <v>77</v>
      </c>
      <c r="E157" s="5" t="s">
        <v>703</v>
      </c>
      <c r="F157" s="5" t="s">
        <v>704</v>
      </c>
      <c r="G157" s="6" t="s">
        <v>705</v>
      </c>
      <c r="H157" s="6" t="s">
        <v>706</v>
      </c>
      <c r="I157" s="5" t="s">
        <v>168</v>
      </c>
      <c r="J157" s="11" t="n">
        <v>46290</v>
      </c>
      <c r="K157" s="5" t="s">
        <v>12</v>
      </c>
      <c r="L157" s="15" t="s">
        <v>132</v>
      </c>
      <c r="M157" s="5" t="s">
        <v>133</v>
      </c>
      <c r="N157" s="5" t="s">
        <v>134</v>
      </c>
      <c r="O157" s="15" t="s">
        <v>135</v>
      </c>
      <c r="P157" s="5" t="s">
        <v>135</v>
      </c>
      <c r="Q157" s="12" t="n">
        <v>0.85</v>
      </c>
      <c r="R157" s="6" t="s">
        <v>318</v>
      </c>
      <c r="S157" s="7" t="s">
        <v>138</v>
      </c>
    </row>
    <row r="158" customFormat="false" ht="15" hidden="false" customHeight="false" outlineLevel="0" collapsed="false">
      <c r="A158" s="5" t="s">
        <v>10</v>
      </c>
      <c r="B158" s="5" t="s">
        <v>72</v>
      </c>
      <c r="C158" s="5" t="n">
        <v>4</v>
      </c>
      <c r="D158" s="6" t="s">
        <v>77</v>
      </c>
      <c r="E158" s="5" t="s">
        <v>703</v>
      </c>
      <c r="F158" s="5" t="s">
        <v>707</v>
      </c>
      <c r="G158" s="6" t="s">
        <v>708</v>
      </c>
      <c r="H158" s="6" t="s">
        <v>709</v>
      </c>
      <c r="I158" s="5" t="s">
        <v>168</v>
      </c>
      <c r="J158" s="11" t="n">
        <v>46292</v>
      </c>
      <c r="K158" s="5" t="s">
        <v>12</v>
      </c>
      <c r="L158" s="15" t="s">
        <v>132</v>
      </c>
      <c r="M158" s="5" t="s">
        <v>133</v>
      </c>
      <c r="N158" s="5" t="s">
        <v>134</v>
      </c>
      <c r="O158" s="16" t="s">
        <v>391</v>
      </c>
      <c r="P158" s="5" t="s">
        <v>136</v>
      </c>
      <c r="Q158" s="12" t="n">
        <v>0.8</v>
      </c>
      <c r="R158" s="6" t="s">
        <v>476</v>
      </c>
      <c r="S158" s="7" t="s">
        <v>138</v>
      </c>
    </row>
    <row r="159" customFormat="false" ht="23.85" hidden="false" customHeight="false" outlineLevel="0" collapsed="false">
      <c r="A159" s="5" t="s">
        <v>10</v>
      </c>
      <c r="B159" s="5" t="s">
        <v>72</v>
      </c>
      <c r="C159" s="5" t="n">
        <v>4</v>
      </c>
      <c r="D159" s="6" t="s">
        <v>77</v>
      </c>
      <c r="E159" s="5" t="s">
        <v>703</v>
      </c>
      <c r="F159" s="5" t="s">
        <v>710</v>
      </c>
      <c r="G159" s="6" t="s">
        <v>711</v>
      </c>
      <c r="H159" s="6" t="s">
        <v>712</v>
      </c>
      <c r="I159" s="5" t="s">
        <v>168</v>
      </c>
      <c r="J159" s="11" t="n">
        <v>46292</v>
      </c>
      <c r="K159" s="5" t="s">
        <v>12</v>
      </c>
      <c r="L159" s="15" t="s">
        <v>132</v>
      </c>
      <c r="M159" s="5" t="s">
        <v>133</v>
      </c>
      <c r="N159" s="5" t="s">
        <v>134</v>
      </c>
      <c r="O159" s="16" t="s">
        <v>391</v>
      </c>
      <c r="P159" s="5" t="s">
        <v>135</v>
      </c>
      <c r="Q159" s="12" t="n">
        <v>0.85</v>
      </c>
      <c r="R159" s="6" t="s">
        <v>476</v>
      </c>
      <c r="S159" s="7" t="s">
        <v>138</v>
      </c>
    </row>
    <row r="160" customFormat="false" ht="35.05" hidden="false" customHeight="false" outlineLevel="0" collapsed="false">
      <c r="A160" s="5" t="s">
        <v>10</v>
      </c>
      <c r="B160" s="5" t="s">
        <v>72</v>
      </c>
      <c r="C160" s="5" t="n">
        <v>4</v>
      </c>
      <c r="D160" s="6" t="s">
        <v>77</v>
      </c>
      <c r="E160" s="5" t="s">
        <v>703</v>
      </c>
      <c r="F160" s="5" t="s">
        <v>713</v>
      </c>
      <c r="G160" s="6" t="s">
        <v>714</v>
      </c>
      <c r="H160" s="6" t="s">
        <v>715</v>
      </c>
      <c r="I160" s="5" t="s">
        <v>168</v>
      </c>
      <c r="J160" s="11" t="n">
        <v>46292</v>
      </c>
      <c r="K160" s="5" t="s">
        <v>12</v>
      </c>
      <c r="L160" s="15" t="s">
        <v>132</v>
      </c>
      <c r="M160" s="5" t="s">
        <v>133</v>
      </c>
      <c r="N160" s="5" t="s">
        <v>134</v>
      </c>
      <c r="O160" s="16" t="s">
        <v>391</v>
      </c>
      <c r="P160" s="5" t="s">
        <v>135</v>
      </c>
      <c r="Q160" s="12" t="n">
        <v>0.8</v>
      </c>
      <c r="R160" s="6" t="s">
        <v>716</v>
      </c>
      <c r="S160" s="7" t="s">
        <v>138</v>
      </c>
    </row>
    <row r="161" customFormat="false" ht="23.85" hidden="false" customHeight="false" outlineLevel="0" collapsed="false">
      <c r="A161" s="5" t="s">
        <v>10</v>
      </c>
      <c r="B161" s="5" t="s">
        <v>72</v>
      </c>
      <c r="C161" s="5" t="n">
        <v>4</v>
      </c>
      <c r="D161" s="6" t="s">
        <v>77</v>
      </c>
      <c r="E161" s="5" t="s">
        <v>703</v>
      </c>
      <c r="F161" s="5" t="s">
        <v>717</v>
      </c>
      <c r="G161" s="6" t="s">
        <v>718</v>
      </c>
      <c r="H161" s="6" t="s">
        <v>719</v>
      </c>
      <c r="I161" s="5" t="s">
        <v>168</v>
      </c>
      <c r="J161" s="11" t="n">
        <v>46290</v>
      </c>
      <c r="K161" s="5" t="s">
        <v>12</v>
      </c>
      <c r="L161" s="15" t="s">
        <v>132</v>
      </c>
      <c r="M161" s="5" t="s">
        <v>133</v>
      </c>
      <c r="N161" s="5" t="s">
        <v>134</v>
      </c>
      <c r="O161" s="15" t="s">
        <v>135</v>
      </c>
      <c r="P161" s="5" t="s">
        <v>135</v>
      </c>
      <c r="Q161" s="12" t="n">
        <v>0.85</v>
      </c>
      <c r="R161" s="6" t="s">
        <v>318</v>
      </c>
      <c r="S161" s="7" t="s">
        <v>138</v>
      </c>
    </row>
    <row r="162" customFormat="false" ht="15" hidden="false" customHeight="false" outlineLevel="0" collapsed="false">
      <c r="A162" s="5" t="s">
        <v>10</v>
      </c>
      <c r="B162" s="5" t="s">
        <v>72</v>
      </c>
      <c r="C162" s="5" t="n">
        <v>4</v>
      </c>
      <c r="D162" s="6" t="s">
        <v>77</v>
      </c>
      <c r="E162" s="5" t="s">
        <v>703</v>
      </c>
      <c r="F162" s="5" t="s">
        <v>720</v>
      </c>
      <c r="G162" s="6" t="s">
        <v>721</v>
      </c>
      <c r="H162" s="6" t="s">
        <v>722</v>
      </c>
      <c r="I162" s="5" t="s">
        <v>168</v>
      </c>
      <c r="J162" s="11" t="n">
        <v>46292</v>
      </c>
      <c r="K162" s="5" t="s">
        <v>12</v>
      </c>
      <c r="L162" s="15" t="s">
        <v>132</v>
      </c>
      <c r="M162" s="5" t="s">
        <v>133</v>
      </c>
      <c r="N162" s="5" t="s">
        <v>134</v>
      </c>
      <c r="O162" s="16" t="s">
        <v>391</v>
      </c>
      <c r="P162" s="5" t="s">
        <v>136</v>
      </c>
      <c r="Q162" s="12" t="n">
        <v>0.8</v>
      </c>
      <c r="R162" s="6" t="s">
        <v>476</v>
      </c>
      <c r="S162" s="7" t="s">
        <v>138</v>
      </c>
    </row>
    <row r="163" customFormat="false" ht="23.85" hidden="false" customHeight="false" outlineLevel="0" collapsed="false">
      <c r="A163" s="5" t="s">
        <v>10</v>
      </c>
      <c r="B163" s="5" t="s">
        <v>72</v>
      </c>
      <c r="C163" s="5" t="n">
        <v>4</v>
      </c>
      <c r="D163" s="6" t="s">
        <v>77</v>
      </c>
      <c r="E163" s="5" t="s">
        <v>703</v>
      </c>
      <c r="F163" s="5" t="s">
        <v>723</v>
      </c>
      <c r="G163" s="6" t="s">
        <v>724</v>
      </c>
      <c r="H163" s="6" t="s">
        <v>725</v>
      </c>
      <c r="I163" s="5" t="s">
        <v>168</v>
      </c>
      <c r="J163" s="11" t="n">
        <v>46292</v>
      </c>
      <c r="K163" s="5" t="s">
        <v>12</v>
      </c>
      <c r="L163" s="15" t="s">
        <v>132</v>
      </c>
      <c r="M163" s="5" t="s">
        <v>133</v>
      </c>
      <c r="N163" s="5" t="s">
        <v>134</v>
      </c>
      <c r="O163" s="16" t="s">
        <v>391</v>
      </c>
      <c r="P163" s="5" t="s">
        <v>135</v>
      </c>
      <c r="Q163" s="12" t="n">
        <v>0.8</v>
      </c>
      <c r="R163" s="6" t="s">
        <v>476</v>
      </c>
      <c r="S163" s="7" t="s">
        <v>138</v>
      </c>
    </row>
    <row r="164" customFormat="false" ht="23.85" hidden="false" customHeight="false" outlineLevel="0" collapsed="false">
      <c r="A164" s="5" t="s">
        <v>10</v>
      </c>
      <c r="B164" s="5" t="s">
        <v>72</v>
      </c>
      <c r="C164" s="5" t="n">
        <v>4</v>
      </c>
      <c r="D164" s="6" t="s">
        <v>77</v>
      </c>
      <c r="E164" s="5" t="s">
        <v>703</v>
      </c>
      <c r="F164" s="5" t="s">
        <v>726</v>
      </c>
      <c r="G164" s="6" t="s">
        <v>727</v>
      </c>
      <c r="H164" s="6" t="s">
        <v>728</v>
      </c>
      <c r="I164" s="5" t="s">
        <v>168</v>
      </c>
      <c r="J164" s="11" t="n">
        <v>46292</v>
      </c>
      <c r="K164" s="5" t="s">
        <v>12</v>
      </c>
      <c r="L164" s="15" t="s">
        <v>132</v>
      </c>
      <c r="M164" s="5" t="s">
        <v>133</v>
      </c>
      <c r="N164" s="5" t="s">
        <v>134</v>
      </c>
      <c r="O164" s="16" t="s">
        <v>391</v>
      </c>
      <c r="P164" s="5" t="s">
        <v>135</v>
      </c>
      <c r="Q164" s="12" t="n">
        <v>0.85</v>
      </c>
      <c r="R164" s="6" t="s">
        <v>476</v>
      </c>
      <c r="S164" s="7" t="s">
        <v>138</v>
      </c>
    </row>
    <row r="165" customFormat="false" ht="23.85" hidden="false" customHeight="false" outlineLevel="0" collapsed="false">
      <c r="A165" s="5" t="s">
        <v>10</v>
      </c>
      <c r="B165" s="5" t="s">
        <v>72</v>
      </c>
      <c r="C165" s="5" t="n">
        <v>4</v>
      </c>
      <c r="D165" s="6" t="s">
        <v>77</v>
      </c>
      <c r="E165" s="5" t="s">
        <v>703</v>
      </c>
      <c r="F165" s="5" t="s">
        <v>729</v>
      </c>
      <c r="G165" s="6" t="s">
        <v>730</v>
      </c>
      <c r="H165" s="6" t="s">
        <v>731</v>
      </c>
      <c r="I165" s="5" t="s">
        <v>168</v>
      </c>
      <c r="J165" s="11" t="n">
        <v>46292</v>
      </c>
      <c r="K165" s="5" t="s">
        <v>12</v>
      </c>
      <c r="L165" s="15" t="s">
        <v>132</v>
      </c>
      <c r="M165" s="5" t="s">
        <v>133</v>
      </c>
      <c r="N165" s="5" t="s">
        <v>134</v>
      </c>
      <c r="O165" s="16" t="s">
        <v>391</v>
      </c>
      <c r="P165" s="5" t="s">
        <v>135</v>
      </c>
      <c r="Q165" s="12" t="n">
        <v>0.75</v>
      </c>
      <c r="R165" s="6" t="s">
        <v>732</v>
      </c>
      <c r="S165" s="7" t="s">
        <v>138</v>
      </c>
    </row>
    <row r="166" customFormat="false" ht="15" hidden="false" customHeight="false" outlineLevel="0" collapsed="false">
      <c r="A166" s="5" t="s">
        <v>10</v>
      </c>
      <c r="B166" s="5" t="s">
        <v>72</v>
      </c>
      <c r="C166" s="5" t="n">
        <v>4</v>
      </c>
      <c r="D166" s="6" t="s">
        <v>77</v>
      </c>
      <c r="E166" s="5" t="s">
        <v>703</v>
      </c>
      <c r="F166" s="5" t="s">
        <v>733</v>
      </c>
      <c r="G166" s="6" t="s">
        <v>734</v>
      </c>
      <c r="H166" s="6" t="s">
        <v>735</v>
      </c>
      <c r="I166" s="5" t="s">
        <v>168</v>
      </c>
      <c r="J166" s="11" t="n">
        <v>46292</v>
      </c>
      <c r="K166" s="5" t="s">
        <v>12</v>
      </c>
      <c r="L166" s="15" t="s">
        <v>132</v>
      </c>
      <c r="M166" s="5" t="s">
        <v>133</v>
      </c>
      <c r="N166" s="5" t="s">
        <v>134</v>
      </c>
      <c r="O166" s="16" t="s">
        <v>391</v>
      </c>
      <c r="P166" s="5" t="s">
        <v>136</v>
      </c>
      <c r="Q166" s="12" t="n">
        <v>0.75</v>
      </c>
      <c r="R166" s="6" t="s">
        <v>476</v>
      </c>
      <c r="S166" s="7" t="s">
        <v>138</v>
      </c>
    </row>
    <row r="167" customFormat="false" ht="23.85" hidden="false" customHeight="false" outlineLevel="0" collapsed="false">
      <c r="A167" s="5" t="s">
        <v>10</v>
      </c>
      <c r="B167" s="5" t="s">
        <v>72</v>
      </c>
      <c r="C167" s="5" t="n">
        <v>4</v>
      </c>
      <c r="D167" s="6" t="s">
        <v>77</v>
      </c>
      <c r="E167" s="5" t="s">
        <v>703</v>
      </c>
      <c r="F167" s="5" t="s">
        <v>736</v>
      </c>
      <c r="G167" s="6" t="s">
        <v>737</v>
      </c>
      <c r="H167" s="6" t="s">
        <v>738</v>
      </c>
      <c r="I167" s="5" t="s">
        <v>168</v>
      </c>
      <c r="J167" s="11" t="n">
        <v>46292</v>
      </c>
      <c r="K167" s="5" t="s">
        <v>12</v>
      </c>
      <c r="L167" s="15" t="s">
        <v>132</v>
      </c>
      <c r="M167" s="5" t="s">
        <v>133</v>
      </c>
      <c r="N167" s="5" t="s">
        <v>134</v>
      </c>
      <c r="O167" s="16" t="s">
        <v>391</v>
      </c>
      <c r="P167" s="5" t="s">
        <v>136</v>
      </c>
      <c r="Q167" s="12" t="n">
        <v>0.75</v>
      </c>
      <c r="R167" s="6" t="s">
        <v>739</v>
      </c>
      <c r="S167" s="7" t="s">
        <v>138</v>
      </c>
    </row>
    <row r="168" customFormat="false" ht="57.45" hidden="false" customHeight="false" outlineLevel="0" collapsed="false">
      <c r="A168" s="5" t="s">
        <v>10</v>
      </c>
      <c r="B168" s="5" t="s">
        <v>72</v>
      </c>
      <c r="C168" s="5" t="n">
        <v>4</v>
      </c>
      <c r="D168" s="6" t="s">
        <v>77</v>
      </c>
      <c r="E168" s="5" t="s">
        <v>655</v>
      </c>
      <c r="F168" s="5" t="s">
        <v>740</v>
      </c>
      <c r="G168" s="6" t="s">
        <v>741</v>
      </c>
      <c r="H168" s="6" t="s">
        <v>742</v>
      </c>
      <c r="I168" s="5" t="s">
        <v>198</v>
      </c>
      <c r="J168" s="11" t="n">
        <v>46302</v>
      </c>
      <c r="K168" s="5" t="s">
        <v>12</v>
      </c>
      <c r="L168" s="15" t="s">
        <v>132</v>
      </c>
      <c r="M168" s="5" t="s">
        <v>133</v>
      </c>
      <c r="N168" s="5" t="s">
        <v>134</v>
      </c>
      <c r="O168" s="17" t="s">
        <v>743</v>
      </c>
      <c r="P168" s="5" t="s">
        <v>743</v>
      </c>
      <c r="Q168" s="12" t="n">
        <v>0.75</v>
      </c>
      <c r="R168" s="6" t="s">
        <v>744</v>
      </c>
      <c r="S168" s="7" t="s">
        <v>138</v>
      </c>
    </row>
    <row r="169" customFormat="false" ht="46.25" hidden="false" customHeight="false" outlineLevel="0" collapsed="false">
      <c r="A169" s="5" t="s">
        <v>10</v>
      </c>
      <c r="B169" s="5" t="s">
        <v>72</v>
      </c>
      <c r="C169" s="5" t="n">
        <v>4</v>
      </c>
      <c r="D169" s="6" t="s">
        <v>77</v>
      </c>
      <c r="E169" s="5" t="s">
        <v>371</v>
      </c>
      <c r="F169" s="5" t="s">
        <v>745</v>
      </c>
      <c r="G169" s="6" t="s">
        <v>746</v>
      </c>
      <c r="H169" s="6" t="s">
        <v>747</v>
      </c>
      <c r="I169" s="5" t="s">
        <v>168</v>
      </c>
      <c r="J169" s="11" t="n">
        <v>46296</v>
      </c>
      <c r="K169" s="5" t="s">
        <v>12</v>
      </c>
      <c r="L169" s="15" t="s">
        <v>132</v>
      </c>
      <c r="M169" s="5" t="s">
        <v>133</v>
      </c>
      <c r="N169" s="5" t="s">
        <v>134</v>
      </c>
      <c r="O169" s="16" t="s">
        <v>391</v>
      </c>
      <c r="P169" s="5" t="s">
        <v>136</v>
      </c>
      <c r="Q169" s="12" t="n">
        <v>0.8</v>
      </c>
      <c r="R169" s="6" t="s">
        <v>748</v>
      </c>
      <c r="S169" s="7" t="s">
        <v>138</v>
      </c>
    </row>
    <row r="170" customFormat="false" ht="46.25" hidden="false" customHeight="false" outlineLevel="0" collapsed="false">
      <c r="A170" s="5" t="s">
        <v>10</v>
      </c>
      <c r="B170" s="5" t="s">
        <v>72</v>
      </c>
      <c r="C170" s="5" t="n">
        <v>4</v>
      </c>
      <c r="D170" s="6" t="s">
        <v>77</v>
      </c>
      <c r="E170" s="5" t="s">
        <v>371</v>
      </c>
      <c r="F170" s="5" t="s">
        <v>749</v>
      </c>
      <c r="G170" s="6" t="s">
        <v>750</v>
      </c>
      <c r="H170" s="6" t="s">
        <v>751</v>
      </c>
      <c r="I170" s="5" t="s">
        <v>168</v>
      </c>
      <c r="J170" s="11" t="n">
        <v>46296</v>
      </c>
      <c r="K170" s="5" t="s">
        <v>12</v>
      </c>
      <c r="L170" s="15" t="s">
        <v>132</v>
      </c>
      <c r="M170" s="5" t="s">
        <v>133</v>
      </c>
      <c r="N170" s="5" t="s">
        <v>134</v>
      </c>
      <c r="O170" s="16" t="s">
        <v>391</v>
      </c>
      <c r="P170" s="5" t="s">
        <v>136</v>
      </c>
      <c r="Q170" s="12" t="n">
        <v>0.8</v>
      </c>
      <c r="R170" s="6" t="s">
        <v>752</v>
      </c>
      <c r="S170" s="7" t="s">
        <v>138</v>
      </c>
    </row>
    <row r="171" customFormat="false" ht="57.45" hidden="false" customHeight="false" outlineLevel="0" collapsed="false">
      <c r="A171" s="5" t="s">
        <v>10</v>
      </c>
      <c r="B171" s="5" t="s">
        <v>72</v>
      </c>
      <c r="C171" s="5" t="n">
        <v>4</v>
      </c>
      <c r="D171" s="6" t="s">
        <v>77</v>
      </c>
      <c r="E171" s="5" t="s">
        <v>371</v>
      </c>
      <c r="F171" s="5" t="s">
        <v>753</v>
      </c>
      <c r="G171" s="6" t="s">
        <v>754</v>
      </c>
      <c r="H171" s="6" t="s">
        <v>755</v>
      </c>
      <c r="I171" s="5" t="s">
        <v>168</v>
      </c>
      <c r="J171" s="11" t="n">
        <v>46296</v>
      </c>
      <c r="K171" s="5" t="s">
        <v>12</v>
      </c>
      <c r="L171" s="15" t="s">
        <v>132</v>
      </c>
      <c r="M171" s="5" t="s">
        <v>133</v>
      </c>
      <c r="N171" s="5" t="s">
        <v>134</v>
      </c>
      <c r="O171" s="16" t="s">
        <v>391</v>
      </c>
      <c r="P171" s="5" t="s">
        <v>136</v>
      </c>
      <c r="Q171" s="12" t="n">
        <v>0.85</v>
      </c>
      <c r="R171" s="6" t="s">
        <v>756</v>
      </c>
      <c r="S171" s="7" t="s">
        <v>138</v>
      </c>
    </row>
    <row r="172" customFormat="false" ht="46.25" hidden="false" customHeight="false" outlineLevel="0" collapsed="false">
      <c r="A172" s="5" t="s">
        <v>10</v>
      </c>
      <c r="B172" s="5" t="s">
        <v>72</v>
      </c>
      <c r="C172" s="5" t="n">
        <v>4</v>
      </c>
      <c r="D172" s="6" t="s">
        <v>77</v>
      </c>
      <c r="E172" s="5" t="s">
        <v>371</v>
      </c>
      <c r="F172" s="5" t="s">
        <v>757</v>
      </c>
      <c r="G172" s="6" t="s">
        <v>758</v>
      </c>
      <c r="H172" s="6" t="s">
        <v>759</v>
      </c>
      <c r="I172" s="5" t="s">
        <v>168</v>
      </c>
      <c r="J172" s="11" t="n">
        <v>46296</v>
      </c>
      <c r="K172" s="5" t="s">
        <v>12</v>
      </c>
      <c r="L172" s="15" t="s">
        <v>132</v>
      </c>
      <c r="M172" s="5" t="s">
        <v>133</v>
      </c>
      <c r="N172" s="5" t="s">
        <v>134</v>
      </c>
      <c r="O172" s="16" t="s">
        <v>391</v>
      </c>
      <c r="P172" s="5" t="s">
        <v>136</v>
      </c>
      <c r="Q172" s="12" t="n">
        <v>0.8</v>
      </c>
      <c r="R172" s="6" t="s">
        <v>760</v>
      </c>
      <c r="S172" s="7" t="s">
        <v>138</v>
      </c>
    </row>
    <row r="173" customFormat="false" ht="35.05" hidden="false" customHeight="false" outlineLevel="0" collapsed="false">
      <c r="A173" s="5" t="s">
        <v>10</v>
      </c>
      <c r="B173" s="5" t="s">
        <v>72</v>
      </c>
      <c r="C173" s="5" t="n">
        <v>4</v>
      </c>
      <c r="D173" s="6" t="s">
        <v>77</v>
      </c>
      <c r="E173" s="5" t="s">
        <v>260</v>
      </c>
      <c r="F173" s="5" t="s">
        <v>761</v>
      </c>
      <c r="G173" s="6" t="s">
        <v>762</v>
      </c>
      <c r="H173" s="6" t="s">
        <v>763</v>
      </c>
      <c r="I173" s="5" t="s">
        <v>183</v>
      </c>
      <c r="J173" s="11" t="n">
        <v>46296</v>
      </c>
      <c r="K173" s="5" t="s">
        <v>12</v>
      </c>
      <c r="L173" s="15" t="s">
        <v>132</v>
      </c>
      <c r="M173" s="5" t="s">
        <v>133</v>
      </c>
      <c r="N173" s="5" t="s">
        <v>134</v>
      </c>
      <c r="O173" s="16" t="s">
        <v>391</v>
      </c>
      <c r="P173" s="5" t="s">
        <v>135</v>
      </c>
      <c r="Q173" s="12" t="n">
        <v>0.85</v>
      </c>
      <c r="R173" s="6" t="s">
        <v>476</v>
      </c>
      <c r="S173" s="7" t="s">
        <v>138</v>
      </c>
    </row>
    <row r="174" customFormat="false" ht="68.65" hidden="false" customHeight="false" outlineLevel="0" collapsed="false">
      <c r="A174" s="5" t="s">
        <v>10</v>
      </c>
      <c r="B174" s="5" t="s">
        <v>72</v>
      </c>
      <c r="C174" s="5" t="n">
        <v>4</v>
      </c>
      <c r="D174" s="6" t="s">
        <v>77</v>
      </c>
      <c r="E174" s="5" t="s">
        <v>371</v>
      </c>
      <c r="F174" s="5" t="s">
        <v>764</v>
      </c>
      <c r="G174" s="6" t="s">
        <v>765</v>
      </c>
      <c r="H174" s="6" t="s">
        <v>766</v>
      </c>
      <c r="I174" s="5" t="s">
        <v>168</v>
      </c>
      <c r="J174" s="11" t="n">
        <v>46296</v>
      </c>
      <c r="K174" s="5" t="s">
        <v>12</v>
      </c>
      <c r="L174" s="15" t="s">
        <v>132</v>
      </c>
      <c r="M174" s="5" t="s">
        <v>133</v>
      </c>
      <c r="N174" s="5" t="s">
        <v>134</v>
      </c>
      <c r="O174" s="16" t="s">
        <v>391</v>
      </c>
      <c r="P174" s="5" t="s">
        <v>136</v>
      </c>
      <c r="Q174" s="12" t="n">
        <v>0.75</v>
      </c>
      <c r="R174" s="6" t="s">
        <v>767</v>
      </c>
      <c r="S174" s="7" t="s">
        <v>138</v>
      </c>
    </row>
    <row r="175" customFormat="false" ht="57.45" hidden="false" customHeight="false" outlineLevel="0" collapsed="false">
      <c r="A175" s="5" t="s">
        <v>10</v>
      </c>
      <c r="B175" s="5" t="s">
        <v>72</v>
      </c>
      <c r="C175" s="5" t="n">
        <v>4</v>
      </c>
      <c r="D175" s="6" t="s">
        <v>77</v>
      </c>
      <c r="E175" s="5" t="s">
        <v>703</v>
      </c>
      <c r="F175" s="5" t="s">
        <v>768</v>
      </c>
      <c r="G175" s="6" t="s">
        <v>769</v>
      </c>
      <c r="H175" s="6" t="s">
        <v>770</v>
      </c>
      <c r="I175" s="5" t="s">
        <v>168</v>
      </c>
      <c r="J175" s="11" t="n">
        <v>46297</v>
      </c>
      <c r="K175" s="5" t="s">
        <v>12</v>
      </c>
      <c r="L175" s="15" t="s">
        <v>132</v>
      </c>
      <c r="M175" s="5" t="s">
        <v>133</v>
      </c>
      <c r="N175" s="5" t="s">
        <v>134</v>
      </c>
      <c r="O175" s="16" t="s">
        <v>391</v>
      </c>
      <c r="P175" s="5" t="s">
        <v>135</v>
      </c>
      <c r="Q175" s="12" t="n">
        <v>0.8</v>
      </c>
      <c r="R175" s="6" t="s">
        <v>771</v>
      </c>
      <c r="S175" s="7" t="s">
        <v>138</v>
      </c>
    </row>
    <row r="176" customFormat="false" ht="35.05" hidden="false" customHeight="false" outlineLevel="0" collapsed="false">
      <c r="A176" s="5" t="s">
        <v>10</v>
      </c>
      <c r="B176" s="5" t="s">
        <v>72</v>
      </c>
      <c r="C176" s="5" t="n">
        <v>4</v>
      </c>
      <c r="D176" s="6" t="s">
        <v>77</v>
      </c>
      <c r="E176" s="5" t="s">
        <v>703</v>
      </c>
      <c r="F176" s="5" t="s">
        <v>772</v>
      </c>
      <c r="G176" s="6" t="s">
        <v>773</v>
      </c>
      <c r="H176" s="6" t="s">
        <v>774</v>
      </c>
      <c r="I176" s="5" t="s">
        <v>168</v>
      </c>
      <c r="J176" s="11" t="n">
        <v>46297</v>
      </c>
      <c r="K176" s="5" t="s">
        <v>12</v>
      </c>
      <c r="L176" s="15" t="s">
        <v>132</v>
      </c>
      <c r="M176" s="5" t="s">
        <v>133</v>
      </c>
      <c r="N176" s="5" t="s">
        <v>134</v>
      </c>
      <c r="O176" s="16" t="s">
        <v>391</v>
      </c>
      <c r="P176" s="5" t="s">
        <v>135</v>
      </c>
      <c r="Q176" s="12" t="n">
        <v>0.75</v>
      </c>
      <c r="R176" s="6" t="s">
        <v>775</v>
      </c>
      <c r="S176" s="7" t="s">
        <v>138</v>
      </c>
    </row>
    <row r="177" customFormat="false" ht="35.05" hidden="false" customHeight="false" outlineLevel="0" collapsed="false">
      <c r="A177" s="5" t="s">
        <v>10</v>
      </c>
      <c r="B177" s="5" t="s">
        <v>72</v>
      </c>
      <c r="C177" s="5" t="n">
        <v>4</v>
      </c>
      <c r="D177" s="6" t="s">
        <v>77</v>
      </c>
      <c r="E177" s="5" t="s">
        <v>260</v>
      </c>
      <c r="F177" s="5" t="s">
        <v>776</v>
      </c>
      <c r="G177" s="6" t="s">
        <v>777</v>
      </c>
      <c r="H177" s="6" t="s">
        <v>778</v>
      </c>
      <c r="I177" s="5" t="s">
        <v>183</v>
      </c>
      <c r="J177" s="11" t="n">
        <v>46296</v>
      </c>
      <c r="K177" s="5" t="s">
        <v>12</v>
      </c>
      <c r="L177" s="15" t="s">
        <v>132</v>
      </c>
      <c r="M177" s="5" t="s">
        <v>133</v>
      </c>
      <c r="N177" s="5" t="s">
        <v>134</v>
      </c>
      <c r="O177" s="16" t="s">
        <v>391</v>
      </c>
      <c r="P177" s="5" t="s">
        <v>136</v>
      </c>
      <c r="Q177" s="12" t="n">
        <v>0.75</v>
      </c>
      <c r="R177" s="6" t="s">
        <v>779</v>
      </c>
      <c r="S177" s="7" t="s">
        <v>138</v>
      </c>
    </row>
    <row r="178" customFormat="false" ht="35.05" hidden="false" customHeight="false" outlineLevel="0" collapsed="false">
      <c r="A178" s="5" t="s">
        <v>10</v>
      </c>
      <c r="B178" s="5" t="s">
        <v>72</v>
      </c>
      <c r="C178" s="5" t="n">
        <v>5</v>
      </c>
      <c r="D178" s="6" t="s">
        <v>78</v>
      </c>
      <c r="E178" s="5" t="s">
        <v>179</v>
      </c>
      <c r="F178" s="5" t="s">
        <v>780</v>
      </c>
      <c r="G178" s="6" t="s">
        <v>781</v>
      </c>
      <c r="H178" s="6" t="s">
        <v>782</v>
      </c>
      <c r="I178" s="5" t="s">
        <v>183</v>
      </c>
      <c r="J178" s="11" t="n">
        <v>46293</v>
      </c>
      <c r="K178" s="5" t="s">
        <v>12</v>
      </c>
      <c r="L178" s="15" t="s">
        <v>132</v>
      </c>
      <c r="M178" s="5" t="s">
        <v>133</v>
      </c>
      <c r="N178" s="5" t="s">
        <v>134</v>
      </c>
      <c r="O178" s="16" t="s">
        <v>391</v>
      </c>
      <c r="P178" s="5" t="s">
        <v>136</v>
      </c>
      <c r="Q178" s="12" t="n">
        <v>0.9</v>
      </c>
      <c r="R178" s="6" t="s">
        <v>157</v>
      </c>
      <c r="S178" s="7" t="s">
        <v>138</v>
      </c>
    </row>
    <row r="179" customFormat="false" ht="23.85" hidden="false" customHeight="false" outlineLevel="0" collapsed="false">
      <c r="A179" s="5" t="s">
        <v>10</v>
      </c>
      <c r="B179" s="5" t="s">
        <v>72</v>
      </c>
      <c r="C179" s="5" t="n">
        <v>5</v>
      </c>
      <c r="D179" s="6" t="s">
        <v>78</v>
      </c>
      <c r="E179" s="5" t="s">
        <v>179</v>
      </c>
      <c r="F179" s="5" t="s">
        <v>783</v>
      </c>
      <c r="G179" s="6" t="s">
        <v>784</v>
      </c>
      <c r="H179" s="6" t="s">
        <v>785</v>
      </c>
      <c r="I179" s="5" t="s">
        <v>183</v>
      </c>
      <c r="J179" s="11" t="n">
        <v>46293</v>
      </c>
      <c r="K179" s="5" t="s">
        <v>12</v>
      </c>
      <c r="L179" s="15" t="s">
        <v>132</v>
      </c>
      <c r="M179" s="5" t="s">
        <v>133</v>
      </c>
      <c r="N179" s="5" t="s">
        <v>134</v>
      </c>
      <c r="O179" s="16" t="s">
        <v>391</v>
      </c>
      <c r="P179" s="5" t="s">
        <v>136</v>
      </c>
      <c r="Q179" s="12" t="n">
        <v>0.9</v>
      </c>
      <c r="R179" s="6" t="s">
        <v>157</v>
      </c>
      <c r="S179" s="7" t="s">
        <v>138</v>
      </c>
    </row>
    <row r="180" customFormat="false" ht="23.85" hidden="false" customHeight="false" outlineLevel="0" collapsed="false">
      <c r="A180" s="5" t="s">
        <v>10</v>
      </c>
      <c r="B180" s="5" t="s">
        <v>72</v>
      </c>
      <c r="C180" s="5" t="n">
        <v>5</v>
      </c>
      <c r="D180" s="6" t="s">
        <v>78</v>
      </c>
      <c r="E180" s="5" t="s">
        <v>179</v>
      </c>
      <c r="F180" s="5" t="s">
        <v>786</v>
      </c>
      <c r="G180" s="6" t="s">
        <v>787</v>
      </c>
      <c r="H180" s="6" t="s">
        <v>788</v>
      </c>
      <c r="I180" s="5" t="s">
        <v>183</v>
      </c>
      <c r="J180" s="11" t="n">
        <v>46293</v>
      </c>
      <c r="K180" s="5" t="s">
        <v>12</v>
      </c>
      <c r="L180" s="15" t="s">
        <v>132</v>
      </c>
      <c r="M180" s="5" t="s">
        <v>133</v>
      </c>
      <c r="N180" s="5" t="s">
        <v>134</v>
      </c>
      <c r="O180" s="16" t="s">
        <v>391</v>
      </c>
      <c r="P180" s="5" t="s">
        <v>136</v>
      </c>
      <c r="Q180" s="12" t="n">
        <v>0.9</v>
      </c>
      <c r="R180" s="6" t="s">
        <v>157</v>
      </c>
      <c r="S180" s="7" t="s">
        <v>138</v>
      </c>
    </row>
    <row r="181" customFormat="false" ht="35.05" hidden="false" customHeight="false" outlineLevel="0" collapsed="false">
      <c r="A181" s="5" t="s">
        <v>10</v>
      </c>
      <c r="B181" s="5" t="s">
        <v>72</v>
      </c>
      <c r="C181" s="5" t="n">
        <v>5</v>
      </c>
      <c r="D181" s="6" t="s">
        <v>78</v>
      </c>
      <c r="E181" s="5" t="s">
        <v>217</v>
      </c>
      <c r="F181" s="5" t="s">
        <v>789</v>
      </c>
      <c r="G181" s="6" t="s">
        <v>790</v>
      </c>
      <c r="H181" s="6" t="s">
        <v>791</v>
      </c>
      <c r="I181" s="5" t="s">
        <v>221</v>
      </c>
      <c r="J181" s="11" t="n">
        <v>46293</v>
      </c>
      <c r="K181" s="5" t="s">
        <v>12</v>
      </c>
      <c r="L181" s="15" t="s">
        <v>132</v>
      </c>
      <c r="M181" s="5" t="s">
        <v>133</v>
      </c>
      <c r="N181" s="5" t="s">
        <v>134</v>
      </c>
      <c r="O181" s="16" t="s">
        <v>391</v>
      </c>
      <c r="P181" s="5" t="s">
        <v>136</v>
      </c>
      <c r="Q181" s="12" t="n">
        <v>0.85</v>
      </c>
      <c r="R181" s="6" t="s">
        <v>792</v>
      </c>
      <c r="S181" s="7" t="s">
        <v>138</v>
      </c>
    </row>
    <row r="182" customFormat="false" ht="35.05" hidden="false" customHeight="false" outlineLevel="0" collapsed="false">
      <c r="A182" s="5" t="s">
        <v>10</v>
      </c>
      <c r="B182" s="5" t="s">
        <v>72</v>
      </c>
      <c r="C182" s="5" t="n">
        <v>5</v>
      </c>
      <c r="D182" s="6" t="s">
        <v>78</v>
      </c>
      <c r="E182" s="5" t="s">
        <v>217</v>
      </c>
      <c r="F182" s="5" t="s">
        <v>793</v>
      </c>
      <c r="G182" s="6" t="s">
        <v>794</v>
      </c>
      <c r="H182" s="6" t="s">
        <v>795</v>
      </c>
      <c r="I182" s="5" t="s">
        <v>221</v>
      </c>
      <c r="J182" s="11" t="n">
        <v>46293</v>
      </c>
      <c r="K182" s="5" t="s">
        <v>12</v>
      </c>
      <c r="L182" s="15" t="s">
        <v>132</v>
      </c>
      <c r="M182" s="5" t="s">
        <v>133</v>
      </c>
      <c r="N182" s="5" t="s">
        <v>134</v>
      </c>
      <c r="O182" s="16" t="s">
        <v>391</v>
      </c>
      <c r="P182" s="5" t="s">
        <v>136</v>
      </c>
      <c r="Q182" s="12" t="n">
        <v>0.85</v>
      </c>
      <c r="R182" s="6" t="s">
        <v>796</v>
      </c>
      <c r="S182" s="7" t="s">
        <v>138</v>
      </c>
    </row>
    <row r="183" customFormat="false" ht="23.85" hidden="false" customHeight="false" outlineLevel="0" collapsed="false">
      <c r="A183" s="5" t="s">
        <v>10</v>
      </c>
      <c r="B183" s="5" t="s">
        <v>72</v>
      </c>
      <c r="C183" s="5" t="n">
        <v>5</v>
      </c>
      <c r="D183" s="6" t="s">
        <v>78</v>
      </c>
      <c r="E183" s="5" t="s">
        <v>217</v>
      </c>
      <c r="F183" s="5" t="s">
        <v>797</v>
      </c>
      <c r="G183" s="6" t="s">
        <v>798</v>
      </c>
      <c r="H183" s="6" t="s">
        <v>799</v>
      </c>
      <c r="I183" s="5" t="s">
        <v>221</v>
      </c>
      <c r="J183" s="11" t="n">
        <v>46290</v>
      </c>
      <c r="K183" s="5" t="s">
        <v>12</v>
      </c>
      <c r="L183" s="15" t="s">
        <v>132</v>
      </c>
      <c r="M183" s="5" t="s">
        <v>133</v>
      </c>
      <c r="N183" s="5" t="s">
        <v>134</v>
      </c>
      <c r="O183" s="15" t="s">
        <v>135</v>
      </c>
      <c r="P183" s="5" t="s">
        <v>136</v>
      </c>
      <c r="Q183" s="12" t="n">
        <v>0.8</v>
      </c>
      <c r="R183" s="6" t="s">
        <v>318</v>
      </c>
      <c r="S183" s="7" t="s">
        <v>138</v>
      </c>
    </row>
    <row r="184" customFormat="false" ht="23.85" hidden="false" customHeight="false" outlineLevel="0" collapsed="false">
      <c r="A184" s="5" t="s">
        <v>10</v>
      </c>
      <c r="B184" s="5" t="s">
        <v>72</v>
      </c>
      <c r="C184" s="5" t="n">
        <v>5</v>
      </c>
      <c r="D184" s="6" t="s">
        <v>78</v>
      </c>
      <c r="E184" s="5" t="s">
        <v>217</v>
      </c>
      <c r="F184" s="5" t="s">
        <v>800</v>
      </c>
      <c r="G184" s="6" t="s">
        <v>801</v>
      </c>
      <c r="H184" s="6" t="s">
        <v>802</v>
      </c>
      <c r="I184" s="5" t="s">
        <v>221</v>
      </c>
      <c r="J184" s="11" t="n">
        <v>46293</v>
      </c>
      <c r="K184" s="5" t="s">
        <v>12</v>
      </c>
      <c r="L184" s="15" t="s">
        <v>132</v>
      </c>
      <c r="M184" s="5" t="s">
        <v>133</v>
      </c>
      <c r="N184" s="5" t="s">
        <v>134</v>
      </c>
      <c r="O184" s="16" t="s">
        <v>391</v>
      </c>
      <c r="P184" s="5" t="s">
        <v>136</v>
      </c>
      <c r="Q184" s="12" t="n">
        <v>0.85</v>
      </c>
      <c r="R184" s="6" t="s">
        <v>792</v>
      </c>
      <c r="S184" s="7" t="s">
        <v>138</v>
      </c>
    </row>
    <row r="185" customFormat="false" ht="35.05" hidden="false" customHeight="false" outlineLevel="0" collapsed="false">
      <c r="A185" s="5" t="s">
        <v>10</v>
      </c>
      <c r="B185" s="5" t="s">
        <v>72</v>
      </c>
      <c r="C185" s="5" t="n">
        <v>5</v>
      </c>
      <c r="D185" s="6" t="s">
        <v>78</v>
      </c>
      <c r="E185" s="5" t="s">
        <v>217</v>
      </c>
      <c r="F185" s="5" t="s">
        <v>803</v>
      </c>
      <c r="G185" s="6" t="s">
        <v>804</v>
      </c>
      <c r="H185" s="6" t="s">
        <v>805</v>
      </c>
      <c r="I185" s="5" t="s">
        <v>221</v>
      </c>
      <c r="J185" s="11" t="n">
        <v>46293</v>
      </c>
      <c r="K185" s="5" t="s">
        <v>12</v>
      </c>
      <c r="L185" s="15" t="s">
        <v>132</v>
      </c>
      <c r="M185" s="5" t="s">
        <v>133</v>
      </c>
      <c r="N185" s="5" t="s">
        <v>134</v>
      </c>
      <c r="O185" s="16" t="s">
        <v>391</v>
      </c>
      <c r="P185" s="5" t="s">
        <v>136</v>
      </c>
      <c r="Q185" s="12" t="n">
        <v>0.85</v>
      </c>
      <c r="R185" s="6" t="s">
        <v>792</v>
      </c>
      <c r="S185" s="7" t="s">
        <v>138</v>
      </c>
    </row>
    <row r="186" customFormat="false" ht="23.85" hidden="false" customHeight="false" outlineLevel="0" collapsed="false">
      <c r="A186" s="5" t="s">
        <v>10</v>
      </c>
      <c r="B186" s="5" t="s">
        <v>72</v>
      </c>
      <c r="C186" s="5" t="n">
        <v>5</v>
      </c>
      <c r="D186" s="6" t="s">
        <v>78</v>
      </c>
      <c r="E186" s="5" t="s">
        <v>217</v>
      </c>
      <c r="F186" s="5" t="s">
        <v>806</v>
      </c>
      <c r="G186" s="6" t="s">
        <v>807</v>
      </c>
      <c r="H186" s="6" t="s">
        <v>808</v>
      </c>
      <c r="I186" s="5" t="s">
        <v>221</v>
      </c>
      <c r="J186" s="11" t="n">
        <v>46290</v>
      </c>
      <c r="K186" s="5" t="s">
        <v>12</v>
      </c>
      <c r="L186" s="15" t="s">
        <v>132</v>
      </c>
      <c r="M186" s="5" t="s">
        <v>133</v>
      </c>
      <c r="N186" s="5" t="s">
        <v>134</v>
      </c>
      <c r="O186" s="15" t="s">
        <v>135</v>
      </c>
      <c r="P186" s="5" t="s">
        <v>136</v>
      </c>
      <c r="Q186" s="12" t="n">
        <v>0.75</v>
      </c>
      <c r="R186" s="6" t="s">
        <v>809</v>
      </c>
      <c r="S186" s="7" t="s">
        <v>138</v>
      </c>
    </row>
    <row r="187" customFormat="false" ht="15" hidden="false" customHeight="false" outlineLevel="0" collapsed="false">
      <c r="A187" s="5" t="s">
        <v>10</v>
      </c>
      <c r="B187" s="5" t="s">
        <v>72</v>
      </c>
      <c r="C187" s="5" t="n">
        <v>5</v>
      </c>
      <c r="D187" s="6" t="s">
        <v>78</v>
      </c>
      <c r="E187" s="5" t="s">
        <v>217</v>
      </c>
      <c r="F187" s="5" t="s">
        <v>810</v>
      </c>
      <c r="G187" s="6" t="s">
        <v>811</v>
      </c>
      <c r="H187" s="6" t="s">
        <v>812</v>
      </c>
      <c r="I187" s="5" t="s">
        <v>221</v>
      </c>
      <c r="J187" s="11" t="n">
        <v>46289</v>
      </c>
      <c r="K187" s="5" t="s">
        <v>12</v>
      </c>
      <c r="L187" s="15" t="s">
        <v>132</v>
      </c>
      <c r="M187" s="5" t="s">
        <v>133</v>
      </c>
      <c r="N187" s="5" t="s">
        <v>134</v>
      </c>
      <c r="O187" s="15" t="s">
        <v>135</v>
      </c>
      <c r="P187" s="5" t="s">
        <v>135</v>
      </c>
      <c r="Q187" s="12" t="n">
        <v>0.8</v>
      </c>
      <c r="R187" s="6" t="s">
        <v>813</v>
      </c>
      <c r="S187" s="7" t="s">
        <v>138</v>
      </c>
    </row>
    <row r="188" customFormat="false" ht="46.25" hidden="false" customHeight="false" outlineLevel="0" collapsed="false">
      <c r="A188" s="5" t="s">
        <v>10</v>
      </c>
      <c r="B188" s="5" t="s">
        <v>72</v>
      </c>
      <c r="C188" s="5" t="n">
        <v>5</v>
      </c>
      <c r="D188" s="6" t="s">
        <v>78</v>
      </c>
      <c r="E188" s="5" t="s">
        <v>217</v>
      </c>
      <c r="F188" s="5" t="s">
        <v>814</v>
      </c>
      <c r="G188" s="6" t="s">
        <v>815</v>
      </c>
      <c r="H188" s="6" t="s">
        <v>816</v>
      </c>
      <c r="I188" s="5" t="s">
        <v>221</v>
      </c>
      <c r="J188" s="11" t="n">
        <v>46293</v>
      </c>
      <c r="K188" s="5" t="s">
        <v>12</v>
      </c>
      <c r="L188" s="15" t="s">
        <v>132</v>
      </c>
      <c r="M188" s="5" t="s">
        <v>133</v>
      </c>
      <c r="N188" s="5" t="s">
        <v>134</v>
      </c>
      <c r="O188" s="16" t="s">
        <v>391</v>
      </c>
      <c r="P188" s="5" t="s">
        <v>136</v>
      </c>
      <c r="Q188" s="12" t="n">
        <v>0.85</v>
      </c>
      <c r="R188" s="6" t="s">
        <v>157</v>
      </c>
      <c r="S188" s="7" t="s">
        <v>138</v>
      </c>
    </row>
    <row r="189" customFormat="false" ht="46.25" hidden="false" customHeight="false" outlineLevel="0" collapsed="false">
      <c r="A189" s="5" t="s">
        <v>10</v>
      </c>
      <c r="B189" s="5" t="s">
        <v>72</v>
      </c>
      <c r="C189" s="5" t="n">
        <v>5</v>
      </c>
      <c r="D189" s="6" t="s">
        <v>78</v>
      </c>
      <c r="E189" s="5" t="s">
        <v>179</v>
      </c>
      <c r="F189" s="5" t="s">
        <v>817</v>
      </c>
      <c r="G189" s="6" t="s">
        <v>818</v>
      </c>
      <c r="H189" s="6" t="s">
        <v>819</v>
      </c>
      <c r="I189" s="5" t="s">
        <v>183</v>
      </c>
      <c r="J189" s="11" t="n">
        <v>46302</v>
      </c>
      <c r="K189" s="5" t="s">
        <v>12</v>
      </c>
      <c r="L189" s="15" t="s">
        <v>132</v>
      </c>
      <c r="M189" s="5" t="s">
        <v>133</v>
      </c>
      <c r="N189" s="5" t="s">
        <v>134</v>
      </c>
      <c r="O189" s="16" t="s">
        <v>391</v>
      </c>
      <c r="P189" s="5" t="s">
        <v>135</v>
      </c>
      <c r="Q189" s="12" t="n">
        <v>0.85</v>
      </c>
      <c r="R189" s="6" t="s">
        <v>820</v>
      </c>
      <c r="S189" s="7" t="s">
        <v>138</v>
      </c>
    </row>
    <row r="190" customFormat="false" ht="79.85" hidden="false" customHeight="false" outlineLevel="0" collapsed="false">
      <c r="A190" s="5" t="s">
        <v>10</v>
      </c>
      <c r="B190" s="5" t="s">
        <v>72</v>
      </c>
      <c r="C190" s="5" t="n">
        <v>5</v>
      </c>
      <c r="D190" s="6" t="s">
        <v>78</v>
      </c>
      <c r="E190" s="5" t="s">
        <v>179</v>
      </c>
      <c r="F190" s="5" t="s">
        <v>821</v>
      </c>
      <c r="G190" s="6" t="s">
        <v>822</v>
      </c>
      <c r="H190" s="6" t="s">
        <v>823</v>
      </c>
      <c r="I190" s="5" t="s">
        <v>183</v>
      </c>
      <c r="J190" s="11" t="n">
        <v>46302</v>
      </c>
      <c r="K190" s="5" t="s">
        <v>12</v>
      </c>
      <c r="L190" s="15" t="s">
        <v>132</v>
      </c>
      <c r="M190" s="5" t="s">
        <v>133</v>
      </c>
      <c r="N190" s="5" t="s">
        <v>134</v>
      </c>
      <c r="O190" s="16" t="s">
        <v>391</v>
      </c>
      <c r="P190" s="5" t="s">
        <v>135</v>
      </c>
      <c r="Q190" s="12" t="n">
        <v>0.9</v>
      </c>
      <c r="R190" s="6" t="s">
        <v>824</v>
      </c>
      <c r="S190" s="7" t="s">
        <v>138</v>
      </c>
    </row>
    <row r="191" customFormat="false" ht="23.85" hidden="false" customHeight="false" outlineLevel="0" collapsed="false">
      <c r="A191" s="5" t="s">
        <v>10</v>
      </c>
      <c r="B191" s="5" t="s">
        <v>72</v>
      </c>
      <c r="C191" s="5" t="n">
        <v>5</v>
      </c>
      <c r="D191" s="6" t="s">
        <v>78</v>
      </c>
      <c r="E191" s="5" t="s">
        <v>179</v>
      </c>
      <c r="F191" s="5" t="s">
        <v>825</v>
      </c>
      <c r="G191" s="6" t="s">
        <v>826</v>
      </c>
      <c r="H191" s="6" t="s">
        <v>827</v>
      </c>
      <c r="I191" s="5" t="s">
        <v>183</v>
      </c>
      <c r="J191" s="11" t="n">
        <v>46293</v>
      </c>
      <c r="K191" s="5" t="s">
        <v>12</v>
      </c>
      <c r="L191" s="15" t="s">
        <v>132</v>
      </c>
      <c r="M191" s="5" t="s">
        <v>133</v>
      </c>
      <c r="N191" s="5" t="s">
        <v>134</v>
      </c>
      <c r="O191" s="16" t="s">
        <v>391</v>
      </c>
      <c r="P191" s="5" t="s">
        <v>136</v>
      </c>
      <c r="Q191" s="12" t="n">
        <v>0.85</v>
      </c>
      <c r="R191" s="6" t="s">
        <v>157</v>
      </c>
      <c r="S191" s="7" t="s">
        <v>138</v>
      </c>
    </row>
    <row r="192" customFormat="false" ht="46.25" hidden="false" customHeight="false" outlineLevel="0" collapsed="false">
      <c r="A192" s="5" t="s">
        <v>10</v>
      </c>
      <c r="B192" s="5" t="s">
        <v>72</v>
      </c>
      <c r="C192" s="5" t="n">
        <v>5</v>
      </c>
      <c r="D192" s="6" t="s">
        <v>78</v>
      </c>
      <c r="E192" s="5" t="s">
        <v>179</v>
      </c>
      <c r="F192" s="5" t="s">
        <v>828</v>
      </c>
      <c r="G192" s="6" t="s">
        <v>829</v>
      </c>
      <c r="H192" s="6" t="s">
        <v>830</v>
      </c>
      <c r="I192" s="5" t="s">
        <v>183</v>
      </c>
      <c r="J192" s="11" t="n">
        <v>46302</v>
      </c>
      <c r="K192" s="5" t="s">
        <v>12</v>
      </c>
      <c r="L192" s="15" t="s">
        <v>132</v>
      </c>
      <c r="M192" s="5" t="s">
        <v>133</v>
      </c>
      <c r="N192" s="5" t="s">
        <v>134</v>
      </c>
      <c r="O192" s="16" t="s">
        <v>391</v>
      </c>
      <c r="P192" s="5" t="s">
        <v>136</v>
      </c>
      <c r="Q192" s="12" t="n">
        <v>0.75</v>
      </c>
      <c r="R192" s="6" t="s">
        <v>831</v>
      </c>
      <c r="S192" s="7" t="s">
        <v>138</v>
      </c>
    </row>
    <row r="193" customFormat="false" ht="35.05" hidden="false" customHeight="false" outlineLevel="0" collapsed="false">
      <c r="A193" s="5" t="s">
        <v>10</v>
      </c>
      <c r="B193" s="5" t="s">
        <v>72</v>
      </c>
      <c r="C193" s="5" t="n">
        <v>5</v>
      </c>
      <c r="D193" s="6" t="s">
        <v>78</v>
      </c>
      <c r="E193" s="5" t="s">
        <v>179</v>
      </c>
      <c r="F193" s="5" t="s">
        <v>832</v>
      </c>
      <c r="G193" s="6" t="s">
        <v>833</v>
      </c>
      <c r="H193" s="6" t="s">
        <v>834</v>
      </c>
      <c r="I193" s="5" t="s">
        <v>183</v>
      </c>
      <c r="J193" s="11" t="n">
        <v>46302</v>
      </c>
      <c r="K193" s="5" t="s">
        <v>12</v>
      </c>
      <c r="L193" s="15" t="s">
        <v>132</v>
      </c>
      <c r="M193" s="5" t="s">
        <v>133</v>
      </c>
      <c r="N193" s="5" t="s">
        <v>134</v>
      </c>
      <c r="O193" s="16" t="s">
        <v>391</v>
      </c>
      <c r="P193" s="5" t="s">
        <v>136</v>
      </c>
      <c r="Q193" s="12" t="n">
        <v>0.7</v>
      </c>
      <c r="R193" s="6" t="s">
        <v>835</v>
      </c>
      <c r="S193" s="7" t="s">
        <v>138</v>
      </c>
    </row>
    <row r="194" customFormat="false" ht="35.05" hidden="false" customHeight="false" outlineLevel="0" collapsed="false">
      <c r="A194" s="5" t="s">
        <v>10</v>
      </c>
      <c r="B194" s="5" t="s">
        <v>72</v>
      </c>
      <c r="C194" s="5" t="n">
        <v>5</v>
      </c>
      <c r="D194" s="6" t="s">
        <v>78</v>
      </c>
      <c r="E194" s="5" t="s">
        <v>260</v>
      </c>
      <c r="F194" s="5" t="s">
        <v>836</v>
      </c>
      <c r="G194" s="6" t="s">
        <v>837</v>
      </c>
      <c r="H194" s="6" t="s">
        <v>838</v>
      </c>
      <c r="I194" s="5" t="s">
        <v>183</v>
      </c>
      <c r="J194" s="11" t="n">
        <v>46293</v>
      </c>
      <c r="K194" s="5" t="s">
        <v>12</v>
      </c>
      <c r="L194" s="15" t="s">
        <v>132</v>
      </c>
      <c r="M194" s="5" t="s">
        <v>133</v>
      </c>
      <c r="N194" s="5" t="s">
        <v>134</v>
      </c>
      <c r="O194" s="16" t="s">
        <v>391</v>
      </c>
      <c r="P194" s="5" t="s">
        <v>135</v>
      </c>
      <c r="Q194" s="12" t="n">
        <v>0.85</v>
      </c>
      <c r="R194" s="6" t="s">
        <v>157</v>
      </c>
      <c r="S194" s="7" t="s">
        <v>138</v>
      </c>
    </row>
    <row r="195" customFormat="false" ht="57.45" hidden="false" customHeight="false" outlineLevel="0" collapsed="false">
      <c r="A195" s="5" t="s">
        <v>10</v>
      </c>
      <c r="B195" s="5" t="s">
        <v>72</v>
      </c>
      <c r="C195" s="5" t="n">
        <v>6</v>
      </c>
      <c r="D195" s="6" t="s">
        <v>79</v>
      </c>
      <c r="E195" s="5" t="s">
        <v>232</v>
      </c>
      <c r="F195" s="5" t="s">
        <v>839</v>
      </c>
      <c r="G195" s="6" t="s">
        <v>840</v>
      </c>
      <c r="H195" s="6" t="s">
        <v>841</v>
      </c>
      <c r="I195" s="5" t="s">
        <v>221</v>
      </c>
      <c r="J195" s="11" t="n">
        <v>46296</v>
      </c>
      <c r="K195" s="5" t="s">
        <v>12</v>
      </c>
      <c r="L195" s="15" t="s">
        <v>132</v>
      </c>
      <c r="M195" s="5" t="s">
        <v>133</v>
      </c>
      <c r="N195" s="5" t="s">
        <v>134</v>
      </c>
      <c r="O195" s="16" t="s">
        <v>391</v>
      </c>
      <c r="P195" s="5" t="s">
        <v>136</v>
      </c>
      <c r="Q195" s="12" t="n">
        <v>0.85</v>
      </c>
      <c r="R195" s="6" t="s">
        <v>842</v>
      </c>
      <c r="S195" s="7" t="s">
        <v>138</v>
      </c>
    </row>
    <row r="196" customFormat="false" ht="46.25" hidden="false" customHeight="false" outlineLevel="0" collapsed="false">
      <c r="A196" s="5" t="s">
        <v>10</v>
      </c>
      <c r="B196" s="5" t="s">
        <v>72</v>
      </c>
      <c r="C196" s="5" t="n">
        <v>6</v>
      </c>
      <c r="D196" s="6" t="s">
        <v>79</v>
      </c>
      <c r="E196" s="5" t="s">
        <v>232</v>
      </c>
      <c r="F196" s="5" t="s">
        <v>843</v>
      </c>
      <c r="G196" s="6" t="s">
        <v>844</v>
      </c>
      <c r="H196" s="6" t="s">
        <v>845</v>
      </c>
      <c r="I196" s="5" t="s">
        <v>221</v>
      </c>
      <c r="J196" s="11" t="n">
        <v>46296</v>
      </c>
      <c r="K196" s="5" t="s">
        <v>12</v>
      </c>
      <c r="L196" s="15" t="s">
        <v>132</v>
      </c>
      <c r="M196" s="5" t="s">
        <v>133</v>
      </c>
      <c r="N196" s="5" t="s">
        <v>134</v>
      </c>
      <c r="O196" s="16" t="s">
        <v>391</v>
      </c>
      <c r="P196" s="5" t="s">
        <v>136</v>
      </c>
      <c r="Q196" s="12" t="n">
        <v>0.85</v>
      </c>
      <c r="R196" s="6" t="s">
        <v>476</v>
      </c>
      <c r="S196" s="7" t="s">
        <v>138</v>
      </c>
    </row>
    <row r="197" customFormat="false" ht="46.25" hidden="false" customHeight="false" outlineLevel="0" collapsed="false">
      <c r="A197" s="5" t="s">
        <v>10</v>
      </c>
      <c r="B197" s="5" t="s">
        <v>72</v>
      </c>
      <c r="C197" s="5" t="n">
        <v>6</v>
      </c>
      <c r="D197" s="6" t="s">
        <v>79</v>
      </c>
      <c r="E197" s="5" t="s">
        <v>252</v>
      </c>
      <c r="F197" s="5" t="s">
        <v>846</v>
      </c>
      <c r="G197" s="6" t="s">
        <v>847</v>
      </c>
      <c r="H197" s="6" t="s">
        <v>848</v>
      </c>
      <c r="I197" s="5" t="s">
        <v>221</v>
      </c>
      <c r="J197" s="11" t="n">
        <v>46296</v>
      </c>
      <c r="K197" s="5" t="s">
        <v>12</v>
      </c>
      <c r="L197" s="15" t="s">
        <v>132</v>
      </c>
      <c r="M197" s="5" t="s">
        <v>133</v>
      </c>
      <c r="N197" s="5" t="s">
        <v>134</v>
      </c>
      <c r="O197" s="16" t="s">
        <v>391</v>
      </c>
      <c r="P197" s="5" t="s">
        <v>136</v>
      </c>
      <c r="Q197" s="12" t="n">
        <v>0.85</v>
      </c>
      <c r="R197" s="6" t="s">
        <v>476</v>
      </c>
      <c r="S197" s="7" t="s">
        <v>138</v>
      </c>
    </row>
    <row r="198" customFormat="false" ht="46.25" hidden="false" customHeight="false" outlineLevel="0" collapsed="false">
      <c r="A198" s="5" t="s">
        <v>10</v>
      </c>
      <c r="B198" s="5" t="s">
        <v>72</v>
      </c>
      <c r="C198" s="5" t="n">
        <v>6</v>
      </c>
      <c r="D198" s="6" t="s">
        <v>79</v>
      </c>
      <c r="E198" s="5" t="s">
        <v>252</v>
      </c>
      <c r="F198" s="5" t="s">
        <v>849</v>
      </c>
      <c r="G198" s="6" t="s">
        <v>850</v>
      </c>
      <c r="H198" s="6" t="s">
        <v>851</v>
      </c>
      <c r="I198" s="5" t="s">
        <v>221</v>
      </c>
      <c r="J198" s="11" t="n">
        <v>46296</v>
      </c>
      <c r="K198" s="5" t="s">
        <v>12</v>
      </c>
      <c r="L198" s="15" t="s">
        <v>132</v>
      </c>
      <c r="M198" s="5" t="s">
        <v>133</v>
      </c>
      <c r="N198" s="5" t="s">
        <v>134</v>
      </c>
      <c r="O198" s="16" t="s">
        <v>391</v>
      </c>
      <c r="P198" s="5" t="s">
        <v>135</v>
      </c>
      <c r="Q198" s="12" t="n">
        <v>0.85</v>
      </c>
      <c r="R198" s="6" t="s">
        <v>852</v>
      </c>
      <c r="S198" s="7" t="s">
        <v>138</v>
      </c>
    </row>
    <row r="199" customFormat="false" ht="35.05" hidden="false" customHeight="false" outlineLevel="0" collapsed="false">
      <c r="A199" s="5" t="s">
        <v>10</v>
      </c>
      <c r="B199" s="5" t="s">
        <v>72</v>
      </c>
      <c r="C199" s="5" t="n">
        <v>6</v>
      </c>
      <c r="D199" s="6" t="s">
        <v>79</v>
      </c>
      <c r="E199" s="5" t="s">
        <v>217</v>
      </c>
      <c r="F199" s="5" t="s">
        <v>853</v>
      </c>
      <c r="G199" s="6" t="s">
        <v>854</v>
      </c>
      <c r="H199" s="6" t="s">
        <v>855</v>
      </c>
      <c r="I199" s="5" t="s">
        <v>221</v>
      </c>
      <c r="J199" s="11" t="n">
        <v>46296</v>
      </c>
      <c r="K199" s="5" t="s">
        <v>12</v>
      </c>
      <c r="L199" s="15" t="s">
        <v>132</v>
      </c>
      <c r="M199" s="5" t="s">
        <v>133</v>
      </c>
      <c r="N199" s="5" t="s">
        <v>134</v>
      </c>
      <c r="O199" s="16" t="s">
        <v>391</v>
      </c>
      <c r="P199" s="5" t="s">
        <v>136</v>
      </c>
      <c r="Q199" s="12" t="n">
        <v>0.85</v>
      </c>
      <c r="R199" s="6" t="s">
        <v>476</v>
      </c>
      <c r="S199" s="7" t="s">
        <v>138</v>
      </c>
    </row>
    <row r="200" customFormat="false" ht="68.65" hidden="false" customHeight="false" outlineLevel="0" collapsed="false">
      <c r="A200" s="5" t="s">
        <v>10</v>
      </c>
      <c r="B200" s="5" t="s">
        <v>72</v>
      </c>
      <c r="C200" s="5" t="n">
        <v>6</v>
      </c>
      <c r="D200" s="6" t="s">
        <v>79</v>
      </c>
      <c r="E200" s="5" t="s">
        <v>252</v>
      </c>
      <c r="F200" s="5" t="s">
        <v>856</v>
      </c>
      <c r="G200" s="6" t="s">
        <v>857</v>
      </c>
      <c r="H200" s="6" t="s">
        <v>858</v>
      </c>
      <c r="I200" s="5" t="s">
        <v>221</v>
      </c>
      <c r="J200" s="11" t="n">
        <v>46302</v>
      </c>
      <c r="K200" s="5" t="s">
        <v>12</v>
      </c>
      <c r="L200" s="15" t="s">
        <v>132</v>
      </c>
      <c r="M200" s="5" t="s">
        <v>133</v>
      </c>
      <c r="N200" s="5" t="s">
        <v>134</v>
      </c>
      <c r="O200" s="17" t="s">
        <v>743</v>
      </c>
      <c r="P200" s="5" t="s">
        <v>743</v>
      </c>
      <c r="Q200" s="12" t="n">
        <v>0.7</v>
      </c>
      <c r="R200" s="6" t="s">
        <v>859</v>
      </c>
      <c r="S200" s="7" t="s">
        <v>138</v>
      </c>
    </row>
    <row r="201" customFormat="false" ht="23.85" hidden="false" customHeight="false" outlineLevel="0" collapsed="false">
      <c r="A201" s="5" t="s">
        <v>10</v>
      </c>
      <c r="B201" s="5" t="s">
        <v>72</v>
      </c>
      <c r="C201" s="5" t="n">
        <v>6</v>
      </c>
      <c r="D201" s="6" t="s">
        <v>79</v>
      </c>
      <c r="E201" s="5" t="s">
        <v>232</v>
      </c>
      <c r="F201" s="5" t="s">
        <v>860</v>
      </c>
      <c r="G201" s="6" t="s">
        <v>861</v>
      </c>
      <c r="H201" s="6" t="s">
        <v>862</v>
      </c>
      <c r="I201" s="5" t="s">
        <v>221</v>
      </c>
      <c r="J201" s="11" t="n">
        <v>46296</v>
      </c>
      <c r="K201" s="5" t="s">
        <v>12</v>
      </c>
      <c r="L201" s="15" t="s">
        <v>132</v>
      </c>
      <c r="M201" s="5" t="s">
        <v>133</v>
      </c>
      <c r="N201" s="5" t="s">
        <v>134</v>
      </c>
      <c r="O201" s="16" t="s">
        <v>391</v>
      </c>
      <c r="P201" s="5" t="s">
        <v>135</v>
      </c>
      <c r="Q201" s="12" t="n">
        <v>0.85</v>
      </c>
      <c r="R201" s="6" t="s">
        <v>863</v>
      </c>
      <c r="S201" s="7" t="s">
        <v>138</v>
      </c>
    </row>
    <row r="202" customFormat="false" ht="46.25" hidden="false" customHeight="false" outlineLevel="0" collapsed="false">
      <c r="A202" s="5" t="s">
        <v>10</v>
      </c>
      <c r="B202" s="5" t="s">
        <v>72</v>
      </c>
      <c r="C202" s="5" t="n">
        <v>6</v>
      </c>
      <c r="D202" s="6" t="s">
        <v>79</v>
      </c>
      <c r="E202" s="5" t="s">
        <v>232</v>
      </c>
      <c r="F202" s="5" t="s">
        <v>864</v>
      </c>
      <c r="G202" s="6" t="s">
        <v>865</v>
      </c>
      <c r="H202" s="6" t="s">
        <v>866</v>
      </c>
      <c r="I202" s="5" t="s">
        <v>221</v>
      </c>
      <c r="J202" s="11" t="n">
        <v>46296</v>
      </c>
      <c r="K202" s="5" t="s">
        <v>12</v>
      </c>
      <c r="L202" s="15" t="s">
        <v>132</v>
      </c>
      <c r="M202" s="5" t="s">
        <v>133</v>
      </c>
      <c r="N202" s="5" t="s">
        <v>134</v>
      </c>
      <c r="O202" s="16" t="s">
        <v>391</v>
      </c>
      <c r="P202" s="5" t="s">
        <v>135</v>
      </c>
      <c r="Q202" s="12" t="n">
        <v>0.85</v>
      </c>
      <c r="R202" s="6" t="s">
        <v>476</v>
      </c>
      <c r="S202" s="7" t="s">
        <v>138</v>
      </c>
    </row>
    <row r="203" customFormat="false" ht="57.45" hidden="false" customHeight="false" outlineLevel="0" collapsed="false">
      <c r="A203" s="5" t="s">
        <v>10</v>
      </c>
      <c r="B203" s="5" t="s">
        <v>72</v>
      </c>
      <c r="C203" s="5" t="n">
        <v>6</v>
      </c>
      <c r="D203" s="6" t="s">
        <v>79</v>
      </c>
      <c r="E203" s="5" t="s">
        <v>252</v>
      </c>
      <c r="F203" s="5" t="s">
        <v>867</v>
      </c>
      <c r="G203" s="6" t="s">
        <v>868</v>
      </c>
      <c r="H203" s="6" t="s">
        <v>869</v>
      </c>
      <c r="I203" s="5" t="s">
        <v>221</v>
      </c>
      <c r="J203" s="11" t="n">
        <v>46296</v>
      </c>
      <c r="K203" s="5" t="s">
        <v>12</v>
      </c>
      <c r="L203" s="15" t="s">
        <v>132</v>
      </c>
      <c r="M203" s="5" t="s">
        <v>133</v>
      </c>
      <c r="N203" s="5" t="s">
        <v>134</v>
      </c>
      <c r="O203" s="16" t="s">
        <v>391</v>
      </c>
      <c r="P203" s="5" t="s">
        <v>136</v>
      </c>
      <c r="Q203" s="12" t="n">
        <v>0.75</v>
      </c>
      <c r="R203" s="6" t="s">
        <v>870</v>
      </c>
      <c r="S203" s="7" t="s">
        <v>138</v>
      </c>
    </row>
    <row r="204" customFormat="false" ht="46.25" hidden="false" customHeight="false" outlineLevel="0" collapsed="false">
      <c r="A204" s="5" t="s">
        <v>10</v>
      </c>
      <c r="B204" s="5" t="s">
        <v>72</v>
      </c>
      <c r="C204" s="5" t="n">
        <v>6</v>
      </c>
      <c r="D204" s="6" t="s">
        <v>79</v>
      </c>
      <c r="E204" s="5" t="s">
        <v>312</v>
      </c>
      <c r="F204" s="5" t="s">
        <v>871</v>
      </c>
      <c r="G204" s="6" t="s">
        <v>872</v>
      </c>
      <c r="H204" s="6" t="s">
        <v>873</v>
      </c>
      <c r="I204" s="5" t="s">
        <v>294</v>
      </c>
      <c r="J204" s="11" t="n">
        <v>46296</v>
      </c>
      <c r="K204" s="5" t="s">
        <v>12</v>
      </c>
      <c r="L204" s="15" t="s">
        <v>132</v>
      </c>
      <c r="M204" s="5" t="s">
        <v>133</v>
      </c>
      <c r="N204" s="5" t="s">
        <v>134</v>
      </c>
      <c r="O204" s="16" t="s">
        <v>391</v>
      </c>
      <c r="P204" s="5" t="s">
        <v>135</v>
      </c>
      <c r="Q204" s="12" t="n">
        <v>0.85</v>
      </c>
      <c r="R204" s="6" t="s">
        <v>874</v>
      </c>
      <c r="S204" s="7" t="s">
        <v>138</v>
      </c>
    </row>
    <row r="205" customFormat="false" ht="68.65" hidden="false" customHeight="false" outlineLevel="0" collapsed="false">
      <c r="A205" s="5" t="s">
        <v>10</v>
      </c>
      <c r="B205" s="5" t="s">
        <v>72</v>
      </c>
      <c r="C205" s="5" t="n">
        <v>6</v>
      </c>
      <c r="D205" s="6" t="s">
        <v>79</v>
      </c>
      <c r="E205" s="5" t="s">
        <v>307</v>
      </c>
      <c r="F205" s="5" t="s">
        <v>875</v>
      </c>
      <c r="G205" s="6" t="s">
        <v>876</v>
      </c>
      <c r="H205" s="6" t="s">
        <v>877</v>
      </c>
      <c r="I205" s="5" t="s">
        <v>294</v>
      </c>
      <c r="J205" s="11" t="n">
        <v>46296</v>
      </c>
      <c r="K205" s="5" t="s">
        <v>12</v>
      </c>
      <c r="L205" s="15" t="s">
        <v>132</v>
      </c>
      <c r="M205" s="5" t="s">
        <v>133</v>
      </c>
      <c r="N205" s="5" t="s">
        <v>134</v>
      </c>
      <c r="O205" s="16" t="s">
        <v>391</v>
      </c>
      <c r="P205" s="5" t="s">
        <v>135</v>
      </c>
      <c r="Q205" s="12" t="n">
        <v>0.95</v>
      </c>
      <c r="R205" s="6" t="s">
        <v>878</v>
      </c>
      <c r="S205" s="7" t="s">
        <v>138</v>
      </c>
    </row>
    <row r="206" customFormat="false" ht="35.05" hidden="false" customHeight="false" outlineLevel="0" collapsed="false">
      <c r="A206" s="5" t="s">
        <v>10</v>
      </c>
      <c r="B206" s="5" t="s">
        <v>72</v>
      </c>
      <c r="C206" s="5" t="n">
        <v>7</v>
      </c>
      <c r="D206" s="6" t="s">
        <v>80</v>
      </c>
      <c r="E206" s="5" t="s">
        <v>127</v>
      </c>
      <c r="F206" s="5" t="s">
        <v>879</v>
      </c>
      <c r="G206" s="6" t="s">
        <v>880</v>
      </c>
      <c r="H206" s="6" t="s">
        <v>881</v>
      </c>
      <c r="I206" s="5" t="s">
        <v>131</v>
      </c>
      <c r="J206" s="11" t="n">
        <v>46296</v>
      </c>
      <c r="K206" s="5" t="s">
        <v>12</v>
      </c>
      <c r="L206" s="15" t="s">
        <v>132</v>
      </c>
      <c r="M206" s="5" t="s">
        <v>133</v>
      </c>
      <c r="N206" s="5" t="s">
        <v>134</v>
      </c>
      <c r="O206" s="16" t="s">
        <v>391</v>
      </c>
      <c r="P206" s="5" t="s">
        <v>136</v>
      </c>
      <c r="Q206" s="12" t="n">
        <v>0.75</v>
      </c>
      <c r="R206" s="6" t="s">
        <v>882</v>
      </c>
      <c r="S206" s="7" t="s">
        <v>138</v>
      </c>
    </row>
    <row r="207" customFormat="false" ht="35.05" hidden="false" customHeight="false" outlineLevel="0" collapsed="false">
      <c r="A207" s="5" t="s">
        <v>10</v>
      </c>
      <c r="B207" s="5" t="s">
        <v>72</v>
      </c>
      <c r="C207" s="5" t="n">
        <v>7</v>
      </c>
      <c r="D207" s="6" t="s">
        <v>80</v>
      </c>
      <c r="E207" s="5" t="s">
        <v>127</v>
      </c>
      <c r="F207" s="5" t="s">
        <v>883</v>
      </c>
      <c r="G207" s="6" t="s">
        <v>884</v>
      </c>
      <c r="H207" s="6" t="s">
        <v>885</v>
      </c>
      <c r="I207" s="5" t="s">
        <v>131</v>
      </c>
      <c r="J207" s="11" t="n">
        <v>46296</v>
      </c>
      <c r="K207" s="5" t="s">
        <v>12</v>
      </c>
      <c r="L207" s="15" t="s">
        <v>132</v>
      </c>
      <c r="M207" s="5" t="s">
        <v>133</v>
      </c>
      <c r="N207" s="5" t="s">
        <v>134</v>
      </c>
      <c r="O207" s="16" t="s">
        <v>391</v>
      </c>
      <c r="P207" s="5" t="s">
        <v>136</v>
      </c>
      <c r="Q207" s="12" t="n">
        <v>0.75</v>
      </c>
      <c r="R207" s="6" t="s">
        <v>886</v>
      </c>
      <c r="S207" s="7" t="s">
        <v>138</v>
      </c>
    </row>
    <row r="208" customFormat="false" ht="68.65" hidden="false" customHeight="false" outlineLevel="0" collapsed="false">
      <c r="A208" s="5" t="s">
        <v>10</v>
      </c>
      <c r="B208" s="5" t="s">
        <v>72</v>
      </c>
      <c r="C208" s="5" t="n">
        <v>7</v>
      </c>
      <c r="D208" s="6" t="s">
        <v>80</v>
      </c>
      <c r="E208" s="5" t="s">
        <v>164</v>
      </c>
      <c r="F208" s="5" t="s">
        <v>887</v>
      </c>
      <c r="G208" s="6" t="s">
        <v>888</v>
      </c>
      <c r="H208" s="6" t="s">
        <v>889</v>
      </c>
      <c r="I208" s="5" t="s">
        <v>168</v>
      </c>
      <c r="J208" s="11" t="n">
        <v>46296</v>
      </c>
      <c r="K208" s="5" t="s">
        <v>12</v>
      </c>
      <c r="L208" s="15" t="s">
        <v>132</v>
      </c>
      <c r="M208" s="5" t="s">
        <v>133</v>
      </c>
      <c r="N208" s="5" t="s">
        <v>134</v>
      </c>
      <c r="O208" s="16" t="s">
        <v>391</v>
      </c>
      <c r="P208" s="5" t="s">
        <v>136</v>
      </c>
      <c r="Q208" s="12" t="n">
        <v>0.7</v>
      </c>
      <c r="R208" s="6" t="s">
        <v>890</v>
      </c>
      <c r="S208" s="7" t="s">
        <v>138</v>
      </c>
    </row>
    <row r="209" customFormat="false" ht="46.25" hidden="false" customHeight="false" outlineLevel="0" collapsed="false">
      <c r="A209" s="5" t="s">
        <v>10</v>
      </c>
      <c r="B209" s="5" t="s">
        <v>72</v>
      </c>
      <c r="C209" s="5" t="n">
        <v>7</v>
      </c>
      <c r="D209" s="6" t="s">
        <v>80</v>
      </c>
      <c r="E209" s="5" t="s">
        <v>164</v>
      </c>
      <c r="F209" s="5" t="s">
        <v>891</v>
      </c>
      <c r="G209" s="6" t="s">
        <v>892</v>
      </c>
      <c r="H209" s="6" t="s">
        <v>893</v>
      </c>
      <c r="I209" s="5" t="s">
        <v>168</v>
      </c>
      <c r="J209" s="11" t="n">
        <v>46297</v>
      </c>
      <c r="K209" s="5" t="s">
        <v>12</v>
      </c>
      <c r="L209" s="15" t="s">
        <v>132</v>
      </c>
      <c r="M209" s="5" t="s">
        <v>133</v>
      </c>
      <c r="N209" s="5" t="s">
        <v>134</v>
      </c>
      <c r="O209" s="16" t="s">
        <v>391</v>
      </c>
      <c r="P209" s="5" t="s">
        <v>135</v>
      </c>
      <c r="Q209" s="12" t="n">
        <v>0.8</v>
      </c>
      <c r="R209" s="6" t="s">
        <v>894</v>
      </c>
      <c r="S209" s="7" t="s">
        <v>138</v>
      </c>
    </row>
    <row r="210" customFormat="false" ht="68.65" hidden="false" customHeight="false" outlineLevel="0" collapsed="false">
      <c r="A210" s="5" t="s">
        <v>10</v>
      </c>
      <c r="B210" s="5" t="s">
        <v>72</v>
      </c>
      <c r="C210" s="5" t="n">
        <v>7</v>
      </c>
      <c r="D210" s="6" t="s">
        <v>80</v>
      </c>
      <c r="E210" s="5" t="s">
        <v>503</v>
      </c>
      <c r="F210" s="5" t="s">
        <v>895</v>
      </c>
      <c r="G210" s="6" t="s">
        <v>896</v>
      </c>
      <c r="H210" s="6" t="s">
        <v>897</v>
      </c>
      <c r="I210" s="5" t="s">
        <v>213</v>
      </c>
      <c r="J210" s="11" t="n">
        <v>46296</v>
      </c>
      <c r="K210" s="5" t="s">
        <v>12</v>
      </c>
      <c r="L210" s="15" t="s">
        <v>132</v>
      </c>
      <c r="M210" s="5" t="s">
        <v>133</v>
      </c>
      <c r="N210" s="5" t="s">
        <v>134</v>
      </c>
      <c r="O210" s="16" t="s">
        <v>391</v>
      </c>
      <c r="P210" s="5" t="s">
        <v>136</v>
      </c>
      <c r="Q210" s="12" t="n">
        <v>0.8</v>
      </c>
      <c r="R210" s="6" t="s">
        <v>898</v>
      </c>
      <c r="S210" s="7" t="s">
        <v>138</v>
      </c>
    </row>
    <row r="211" customFormat="false" ht="68.65" hidden="false" customHeight="false" outlineLevel="0" collapsed="false">
      <c r="A211" s="5" t="s">
        <v>10</v>
      </c>
      <c r="B211" s="5" t="s">
        <v>72</v>
      </c>
      <c r="C211" s="5" t="n">
        <v>7</v>
      </c>
      <c r="D211" s="6" t="s">
        <v>80</v>
      </c>
      <c r="E211" s="5" t="s">
        <v>503</v>
      </c>
      <c r="F211" s="5" t="s">
        <v>899</v>
      </c>
      <c r="G211" s="6" t="s">
        <v>900</v>
      </c>
      <c r="H211" s="6" t="s">
        <v>901</v>
      </c>
      <c r="I211" s="5" t="s">
        <v>213</v>
      </c>
      <c r="J211" s="11" t="n">
        <v>46296</v>
      </c>
      <c r="K211" s="5" t="s">
        <v>12</v>
      </c>
      <c r="L211" s="15" t="s">
        <v>132</v>
      </c>
      <c r="M211" s="5" t="s">
        <v>133</v>
      </c>
      <c r="N211" s="5" t="s">
        <v>134</v>
      </c>
      <c r="O211" s="16" t="s">
        <v>391</v>
      </c>
      <c r="P211" s="5" t="s">
        <v>136</v>
      </c>
      <c r="Q211" s="12" t="n">
        <v>0.85</v>
      </c>
      <c r="R211" s="6" t="s">
        <v>902</v>
      </c>
      <c r="S211" s="7" t="s">
        <v>138</v>
      </c>
    </row>
    <row r="212" customFormat="false" ht="46.25" hidden="false" customHeight="false" outlineLevel="0" collapsed="false">
      <c r="A212" s="5" t="s">
        <v>10</v>
      </c>
      <c r="B212" s="5" t="s">
        <v>72</v>
      </c>
      <c r="C212" s="5" t="n">
        <v>7</v>
      </c>
      <c r="D212" s="6" t="s">
        <v>80</v>
      </c>
      <c r="E212" s="5" t="s">
        <v>503</v>
      </c>
      <c r="F212" s="5" t="s">
        <v>903</v>
      </c>
      <c r="G212" s="6" t="s">
        <v>904</v>
      </c>
      <c r="H212" s="6" t="s">
        <v>905</v>
      </c>
      <c r="I212" s="5" t="s">
        <v>213</v>
      </c>
      <c r="J212" s="11" t="n">
        <v>46296</v>
      </c>
      <c r="K212" s="5" t="s">
        <v>12</v>
      </c>
      <c r="L212" s="15" t="s">
        <v>132</v>
      </c>
      <c r="M212" s="5" t="s">
        <v>133</v>
      </c>
      <c r="N212" s="5" t="s">
        <v>134</v>
      </c>
      <c r="O212" s="16" t="s">
        <v>391</v>
      </c>
      <c r="P212" s="5" t="s">
        <v>136</v>
      </c>
      <c r="Q212" s="12" t="n">
        <v>0.8</v>
      </c>
      <c r="R212" s="6" t="s">
        <v>906</v>
      </c>
      <c r="S212" s="7" t="s">
        <v>138</v>
      </c>
    </row>
    <row r="213" customFormat="false" ht="79.85" hidden="false" customHeight="false" outlineLevel="0" collapsed="false">
      <c r="A213" s="5" t="s">
        <v>10</v>
      </c>
      <c r="B213" s="5" t="s">
        <v>72</v>
      </c>
      <c r="C213" s="5" t="n">
        <v>7</v>
      </c>
      <c r="D213" s="6" t="s">
        <v>80</v>
      </c>
      <c r="E213" s="5" t="s">
        <v>503</v>
      </c>
      <c r="F213" s="5" t="s">
        <v>907</v>
      </c>
      <c r="G213" s="6" t="s">
        <v>908</v>
      </c>
      <c r="H213" s="6" t="s">
        <v>909</v>
      </c>
      <c r="I213" s="5" t="s">
        <v>213</v>
      </c>
      <c r="J213" s="11" t="n">
        <v>46296</v>
      </c>
      <c r="K213" s="5" t="s">
        <v>12</v>
      </c>
      <c r="L213" s="15" t="s">
        <v>132</v>
      </c>
      <c r="M213" s="5" t="s">
        <v>133</v>
      </c>
      <c r="N213" s="5" t="s">
        <v>134</v>
      </c>
      <c r="O213" s="16" t="s">
        <v>391</v>
      </c>
      <c r="P213" s="5" t="s">
        <v>136</v>
      </c>
      <c r="Q213" s="12" t="n">
        <v>0.85</v>
      </c>
      <c r="R213" s="6" t="s">
        <v>910</v>
      </c>
      <c r="S213" s="7" t="s">
        <v>138</v>
      </c>
    </row>
    <row r="214" customFormat="false" ht="68.65" hidden="false" customHeight="false" outlineLevel="0" collapsed="false">
      <c r="A214" s="5" t="s">
        <v>10</v>
      </c>
      <c r="B214" s="5" t="s">
        <v>72</v>
      </c>
      <c r="C214" s="5" t="n">
        <v>7</v>
      </c>
      <c r="D214" s="6" t="s">
        <v>80</v>
      </c>
      <c r="E214" s="5" t="s">
        <v>164</v>
      </c>
      <c r="F214" s="5" t="s">
        <v>911</v>
      </c>
      <c r="G214" s="6" t="s">
        <v>912</v>
      </c>
      <c r="H214" s="6" t="s">
        <v>913</v>
      </c>
      <c r="I214" s="5" t="s">
        <v>168</v>
      </c>
      <c r="J214" s="11" t="n">
        <v>46296</v>
      </c>
      <c r="K214" s="5" t="s">
        <v>12</v>
      </c>
      <c r="L214" s="15" t="s">
        <v>132</v>
      </c>
      <c r="M214" s="5" t="s">
        <v>133</v>
      </c>
      <c r="N214" s="5" t="s">
        <v>134</v>
      </c>
      <c r="O214" s="16" t="s">
        <v>391</v>
      </c>
      <c r="P214" s="5" t="s">
        <v>135</v>
      </c>
      <c r="Q214" s="12" t="n">
        <v>0.85</v>
      </c>
      <c r="R214" s="6" t="s">
        <v>914</v>
      </c>
      <c r="S214" s="7" t="s">
        <v>138</v>
      </c>
    </row>
    <row r="215" customFormat="false" ht="57.45" hidden="false" customHeight="false" outlineLevel="0" collapsed="false">
      <c r="A215" s="5" t="s">
        <v>10</v>
      </c>
      <c r="B215" s="5" t="s">
        <v>72</v>
      </c>
      <c r="C215" s="5" t="n">
        <v>7</v>
      </c>
      <c r="D215" s="6" t="s">
        <v>80</v>
      </c>
      <c r="E215" s="5" t="s">
        <v>232</v>
      </c>
      <c r="F215" s="5" t="s">
        <v>915</v>
      </c>
      <c r="G215" s="6" t="s">
        <v>916</v>
      </c>
      <c r="H215" s="6" t="s">
        <v>917</v>
      </c>
      <c r="I215" s="5" t="s">
        <v>221</v>
      </c>
      <c r="J215" s="11" t="n">
        <v>46296</v>
      </c>
      <c r="K215" s="5" t="s">
        <v>12</v>
      </c>
      <c r="L215" s="15" t="s">
        <v>132</v>
      </c>
      <c r="M215" s="5" t="s">
        <v>133</v>
      </c>
      <c r="N215" s="5" t="s">
        <v>134</v>
      </c>
      <c r="O215" s="16" t="s">
        <v>391</v>
      </c>
      <c r="P215" s="5" t="s">
        <v>136</v>
      </c>
      <c r="Q215" s="12" t="n">
        <v>0.8</v>
      </c>
      <c r="R215" s="6" t="s">
        <v>918</v>
      </c>
      <c r="S215" s="7" t="s">
        <v>138</v>
      </c>
    </row>
    <row r="216" customFormat="false" ht="46.25" hidden="false" customHeight="false" outlineLevel="0" collapsed="false">
      <c r="A216" s="5" t="s">
        <v>10</v>
      </c>
      <c r="B216" s="5" t="s">
        <v>72</v>
      </c>
      <c r="C216" s="5" t="n">
        <v>7</v>
      </c>
      <c r="D216" s="6" t="s">
        <v>80</v>
      </c>
      <c r="E216" s="5" t="s">
        <v>232</v>
      </c>
      <c r="F216" s="5" t="s">
        <v>919</v>
      </c>
      <c r="G216" s="6" t="s">
        <v>920</v>
      </c>
      <c r="H216" s="6" t="s">
        <v>921</v>
      </c>
      <c r="I216" s="5" t="s">
        <v>221</v>
      </c>
      <c r="J216" s="11" t="n">
        <v>46296</v>
      </c>
      <c r="K216" s="5" t="s">
        <v>12</v>
      </c>
      <c r="L216" s="15" t="s">
        <v>132</v>
      </c>
      <c r="M216" s="5" t="s">
        <v>133</v>
      </c>
      <c r="N216" s="5" t="s">
        <v>134</v>
      </c>
      <c r="O216" s="16" t="s">
        <v>391</v>
      </c>
      <c r="P216" s="5" t="s">
        <v>135</v>
      </c>
      <c r="Q216" s="12" t="n">
        <v>0.8</v>
      </c>
      <c r="R216" s="6" t="s">
        <v>922</v>
      </c>
      <c r="S216" s="7" t="s">
        <v>138</v>
      </c>
    </row>
    <row r="217" customFormat="false" ht="57.45" hidden="false" customHeight="false" outlineLevel="0" collapsed="false">
      <c r="A217" s="5" t="s">
        <v>10</v>
      </c>
      <c r="B217" s="5" t="s">
        <v>72</v>
      </c>
      <c r="C217" s="5" t="n">
        <v>7</v>
      </c>
      <c r="D217" s="6" t="s">
        <v>80</v>
      </c>
      <c r="E217" s="5" t="s">
        <v>232</v>
      </c>
      <c r="F217" s="5" t="s">
        <v>923</v>
      </c>
      <c r="G217" s="6" t="s">
        <v>924</v>
      </c>
      <c r="H217" s="6" t="s">
        <v>925</v>
      </c>
      <c r="I217" s="5" t="s">
        <v>221</v>
      </c>
      <c r="J217" s="11" t="n">
        <v>46296</v>
      </c>
      <c r="K217" s="5" t="s">
        <v>12</v>
      </c>
      <c r="L217" s="15" t="s">
        <v>132</v>
      </c>
      <c r="M217" s="5" t="s">
        <v>133</v>
      </c>
      <c r="N217" s="5" t="s">
        <v>134</v>
      </c>
      <c r="O217" s="16" t="s">
        <v>391</v>
      </c>
      <c r="P217" s="5" t="s">
        <v>136</v>
      </c>
      <c r="Q217" s="12" t="n">
        <v>0.8</v>
      </c>
      <c r="R217" s="6" t="s">
        <v>157</v>
      </c>
      <c r="S217" s="7" t="s">
        <v>138</v>
      </c>
    </row>
    <row r="218" customFormat="false" ht="57.45" hidden="false" customHeight="false" outlineLevel="0" collapsed="false">
      <c r="A218" s="5" t="s">
        <v>10</v>
      </c>
      <c r="B218" s="5" t="s">
        <v>72</v>
      </c>
      <c r="C218" s="5" t="n">
        <v>7</v>
      </c>
      <c r="D218" s="6" t="s">
        <v>80</v>
      </c>
      <c r="E218" s="5" t="s">
        <v>232</v>
      </c>
      <c r="F218" s="5" t="s">
        <v>926</v>
      </c>
      <c r="G218" s="6" t="s">
        <v>927</v>
      </c>
      <c r="H218" s="6" t="s">
        <v>928</v>
      </c>
      <c r="I218" s="5" t="s">
        <v>221</v>
      </c>
      <c r="J218" s="11" t="n">
        <v>46296</v>
      </c>
      <c r="K218" s="5" t="s">
        <v>12</v>
      </c>
      <c r="L218" s="15" t="s">
        <v>132</v>
      </c>
      <c r="M218" s="5" t="s">
        <v>133</v>
      </c>
      <c r="N218" s="5" t="s">
        <v>134</v>
      </c>
      <c r="O218" s="16" t="s">
        <v>391</v>
      </c>
      <c r="P218" s="5" t="s">
        <v>136</v>
      </c>
      <c r="Q218" s="12" t="n">
        <v>0.8</v>
      </c>
      <c r="R218" s="6" t="s">
        <v>157</v>
      </c>
      <c r="S218" s="7" t="s">
        <v>138</v>
      </c>
    </row>
    <row r="219" customFormat="false" ht="113.4" hidden="false" customHeight="false" outlineLevel="0" collapsed="false">
      <c r="A219" s="5" t="s">
        <v>10</v>
      </c>
      <c r="B219" s="5" t="s">
        <v>72</v>
      </c>
      <c r="C219" s="5" t="n">
        <v>7</v>
      </c>
      <c r="D219" s="6" t="s">
        <v>80</v>
      </c>
      <c r="E219" s="5" t="s">
        <v>209</v>
      </c>
      <c r="F219" s="5" t="s">
        <v>929</v>
      </c>
      <c r="G219" s="6" t="s">
        <v>930</v>
      </c>
      <c r="H219" s="6" t="s">
        <v>931</v>
      </c>
      <c r="I219" s="5" t="s">
        <v>213</v>
      </c>
      <c r="J219" s="11" t="n">
        <v>46302</v>
      </c>
      <c r="K219" s="5" t="s">
        <v>12</v>
      </c>
      <c r="L219" s="15" t="s">
        <v>132</v>
      </c>
      <c r="M219" s="5" t="s">
        <v>133</v>
      </c>
      <c r="N219" s="5" t="s">
        <v>134</v>
      </c>
      <c r="O219" s="16" t="s">
        <v>391</v>
      </c>
      <c r="P219" s="5" t="s">
        <v>135</v>
      </c>
      <c r="Q219" s="12" t="n">
        <v>0.8</v>
      </c>
      <c r="R219" s="6" t="s">
        <v>932</v>
      </c>
      <c r="S219" s="7" t="s">
        <v>138</v>
      </c>
    </row>
    <row r="220" customFormat="false" ht="57.45" hidden="false" customHeight="false" outlineLevel="0" collapsed="false">
      <c r="A220" s="5" t="s">
        <v>10</v>
      </c>
      <c r="B220" s="5" t="s">
        <v>72</v>
      </c>
      <c r="C220" s="5" t="n">
        <v>7</v>
      </c>
      <c r="D220" s="6" t="s">
        <v>80</v>
      </c>
      <c r="E220" s="5" t="s">
        <v>127</v>
      </c>
      <c r="F220" s="5" t="s">
        <v>933</v>
      </c>
      <c r="G220" s="6" t="s">
        <v>934</v>
      </c>
      <c r="H220" s="6" t="s">
        <v>935</v>
      </c>
      <c r="I220" s="5" t="s">
        <v>131</v>
      </c>
      <c r="J220" s="11" t="n">
        <v>46296</v>
      </c>
      <c r="K220" s="5" t="s">
        <v>12</v>
      </c>
      <c r="L220" s="15" t="s">
        <v>132</v>
      </c>
      <c r="M220" s="5" t="s">
        <v>133</v>
      </c>
      <c r="N220" s="5" t="s">
        <v>134</v>
      </c>
      <c r="O220" s="16" t="s">
        <v>391</v>
      </c>
      <c r="P220" s="5" t="s">
        <v>135</v>
      </c>
      <c r="Q220" s="12" t="n">
        <v>0.8</v>
      </c>
      <c r="R220" s="6" t="s">
        <v>936</v>
      </c>
      <c r="S220" s="7" t="s">
        <v>138</v>
      </c>
    </row>
    <row r="221" customFormat="false" ht="35.05" hidden="false" customHeight="false" outlineLevel="0" collapsed="false">
      <c r="A221" s="5" t="s">
        <v>10</v>
      </c>
      <c r="B221" s="5" t="s">
        <v>72</v>
      </c>
      <c r="C221" s="5" t="n">
        <v>7</v>
      </c>
      <c r="D221" s="6" t="s">
        <v>80</v>
      </c>
      <c r="E221" s="5" t="s">
        <v>642</v>
      </c>
      <c r="F221" s="5" t="s">
        <v>937</v>
      </c>
      <c r="G221" s="6" t="s">
        <v>938</v>
      </c>
      <c r="H221" s="6" t="s">
        <v>939</v>
      </c>
      <c r="I221" s="5" t="s">
        <v>131</v>
      </c>
      <c r="J221" s="11" t="n">
        <v>46296</v>
      </c>
      <c r="K221" s="5" t="s">
        <v>12</v>
      </c>
      <c r="L221" s="15" t="s">
        <v>132</v>
      </c>
      <c r="M221" s="5" t="s">
        <v>133</v>
      </c>
      <c r="N221" s="5" t="s">
        <v>134</v>
      </c>
      <c r="O221" s="16" t="s">
        <v>391</v>
      </c>
      <c r="P221" s="5" t="s">
        <v>135</v>
      </c>
      <c r="Q221" s="12" t="n">
        <v>0.8</v>
      </c>
      <c r="R221" s="6" t="s">
        <v>476</v>
      </c>
      <c r="S221" s="7" t="s">
        <v>138</v>
      </c>
    </row>
    <row r="222" customFormat="false" ht="35.05" hidden="false" customHeight="false" outlineLevel="0" collapsed="false">
      <c r="A222" s="5" t="s">
        <v>10</v>
      </c>
      <c r="B222" s="5" t="s">
        <v>72</v>
      </c>
      <c r="C222" s="5" t="n">
        <v>7</v>
      </c>
      <c r="D222" s="6" t="s">
        <v>80</v>
      </c>
      <c r="E222" s="5" t="s">
        <v>642</v>
      </c>
      <c r="F222" s="5" t="s">
        <v>940</v>
      </c>
      <c r="G222" s="6" t="s">
        <v>941</v>
      </c>
      <c r="H222" s="6" t="s">
        <v>942</v>
      </c>
      <c r="I222" s="5" t="s">
        <v>131</v>
      </c>
      <c r="J222" s="11" t="n">
        <v>46296</v>
      </c>
      <c r="K222" s="5" t="s">
        <v>12</v>
      </c>
      <c r="L222" s="15" t="s">
        <v>132</v>
      </c>
      <c r="M222" s="5" t="s">
        <v>133</v>
      </c>
      <c r="N222" s="5" t="s">
        <v>134</v>
      </c>
      <c r="O222" s="16" t="s">
        <v>391</v>
      </c>
      <c r="P222" s="5" t="s">
        <v>136</v>
      </c>
      <c r="Q222" s="12" t="n">
        <v>0.7</v>
      </c>
      <c r="R222" s="6" t="s">
        <v>943</v>
      </c>
      <c r="S222" s="7" t="s">
        <v>138</v>
      </c>
    </row>
    <row r="223" customFormat="false" ht="46.25" hidden="false" customHeight="false" outlineLevel="0" collapsed="false">
      <c r="A223" s="5" t="s">
        <v>10</v>
      </c>
      <c r="B223" s="5" t="s">
        <v>72</v>
      </c>
      <c r="C223" s="5" t="n">
        <v>7</v>
      </c>
      <c r="D223" s="6" t="s">
        <v>80</v>
      </c>
      <c r="E223" s="5" t="s">
        <v>127</v>
      </c>
      <c r="F223" s="5" t="s">
        <v>944</v>
      </c>
      <c r="G223" s="6" t="s">
        <v>945</v>
      </c>
      <c r="H223" s="6" t="s">
        <v>946</v>
      </c>
      <c r="I223" s="5" t="s">
        <v>131</v>
      </c>
      <c r="J223" s="11" t="n">
        <v>46296</v>
      </c>
      <c r="K223" s="5" t="s">
        <v>12</v>
      </c>
      <c r="L223" s="15" t="s">
        <v>132</v>
      </c>
      <c r="M223" s="5" t="s">
        <v>133</v>
      </c>
      <c r="N223" s="5" t="s">
        <v>134</v>
      </c>
      <c r="O223" s="16" t="s">
        <v>391</v>
      </c>
      <c r="P223" s="5" t="s">
        <v>136</v>
      </c>
      <c r="Q223" s="12" t="n">
        <v>0.8</v>
      </c>
      <c r="R223" s="6" t="s">
        <v>947</v>
      </c>
      <c r="S223" s="7" t="s">
        <v>138</v>
      </c>
    </row>
    <row r="224" customFormat="false" ht="46.25" hidden="false" customHeight="false" outlineLevel="0" collapsed="false">
      <c r="A224" s="5" t="s">
        <v>10</v>
      </c>
      <c r="B224" s="5" t="s">
        <v>72</v>
      </c>
      <c r="C224" s="5" t="n">
        <v>7</v>
      </c>
      <c r="D224" s="6" t="s">
        <v>80</v>
      </c>
      <c r="E224" s="5" t="s">
        <v>127</v>
      </c>
      <c r="F224" s="5" t="s">
        <v>948</v>
      </c>
      <c r="G224" s="6" t="s">
        <v>949</v>
      </c>
      <c r="H224" s="6" t="s">
        <v>950</v>
      </c>
      <c r="I224" s="5" t="s">
        <v>131</v>
      </c>
      <c r="J224" s="11" t="n">
        <v>46302</v>
      </c>
      <c r="K224" s="5" t="s">
        <v>12</v>
      </c>
      <c r="L224" s="15" t="s">
        <v>132</v>
      </c>
      <c r="M224" s="5" t="s">
        <v>133</v>
      </c>
      <c r="N224" s="5" t="s">
        <v>134</v>
      </c>
      <c r="O224" s="16" t="s">
        <v>391</v>
      </c>
      <c r="P224" s="5" t="s">
        <v>136</v>
      </c>
      <c r="Q224" s="12" t="n">
        <v>0.7</v>
      </c>
      <c r="R224" s="6" t="s">
        <v>951</v>
      </c>
      <c r="S224" s="7" t="s">
        <v>138</v>
      </c>
    </row>
    <row r="225" customFormat="false" ht="15" hidden="false" customHeight="false" outlineLevel="0" collapsed="false">
      <c r="A225" s="5" t="s">
        <v>10</v>
      </c>
      <c r="B225" s="5" t="s">
        <v>72</v>
      </c>
      <c r="C225" s="5" t="n">
        <v>8</v>
      </c>
      <c r="D225" s="6" t="s">
        <v>81</v>
      </c>
      <c r="E225" s="5" t="s">
        <v>312</v>
      </c>
      <c r="F225" s="5" t="s">
        <v>952</v>
      </c>
      <c r="G225" s="6" t="s">
        <v>953</v>
      </c>
      <c r="H225" s="6" t="s">
        <v>954</v>
      </c>
      <c r="I225" s="5" t="s">
        <v>294</v>
      </c>
      <c r="J225" s="11" t="n">
        <v>46292</v>
      </c>
      <c r="K225" s="5" t="s">
        <v>12</v>
      </c>
      <c r="L225" s="15" t="s">
        <v>132</v>
      </c>
      <c r="M225" s="5" t="s">
        <v>133</v>
      </c>
      <c r="N225" s="5" t="s">
        <v>134</v>
      </c>
      <c r="O225" s="16" t="s">
        <v>391</v>
      </c>
      <c r="P225" s="5" t="s">
        <v>136</v>
      </c>
      <c r="Q225" s="12" t="n">
        <v>0.75</v>
      </c>
      <c r="R225" s="6" t="s">
        <v>955</v>
      </c>
      <c r="S225" s="7" t="s">
        <v>138</v>
      </c>
    </row>
    <row r="226" customFormat="false" ht="68.65" hidden="false" customHeight="false" outlineLevel="0" collapsed="false">
      <c r="A226" s="5" t="s">
        <v>10</v>
      </c>
      <c r="B226" s="5" t="s">
        <v>72</v>
      </c>
      <c r="C226" s="5" t="n">
        <v>8</v>
      </c>
      <c r="D226" s="6" t="s">
        <v>81</v>
      </c>
      <c r="E226" s="5" t="s">
        <v>319</v>
      </c>
      <c r="F226" s="5" t="s">
        <v>956</v>
      </c>
      <c r="G226" s="6" t="s">
        <v>957</v>
      </c>
      <c r="H226" s="6" t="s">
        <v>958</v>
      </c>
      <c r="I226" s="5" t="s">
        <v>294</v>
      </c>
      <c r="J226" s="11" t="n">
        <v>46296</v>
      </c>
      <c r="K226" s="5" t="s">
        <v>12</v>
      </c>
      <c r="L226" s="15" t="s">
        <v>132</v>
      </c>
      <c r="M226" s="5" t="s">
        <v>133</v>
      </c>
      <c r="N226" s="5" t="s">
        <v>134</v>
      </c>
      <c r="O226" s="16" t="s">
        <v>391</v>
      </c>
      <c r="P226" s="5" t="s">
        <v>136</v>
      </c>
      <c r="Q226" s="12" t="n">
        <v>0.9</v>
      </c>
      <c r="R226" s="6" t="s">
        <v>959</v>
      </c>
      <c r="S226" s="7" t="s">
        <v>138</v>
      </c>
    </row>
    <row r="227" customFormat="false" ht="91" hidden="false" customHeight="false" outlineLevel="0" collapsed="false">
      <c r="A227" s="5" t="s">
        <v>10</v>
      </c>
      <c r="B227" s="5" t="s">
        <v>72</v>
      </c>
      <c r="C227" s="5" t="n">
        <v>8</v>
      </c>
      <c r="D227" s="6" t="s">
        <v>81</v>
      </c>
      <c r="E227" s="5" t="s">
        <v>307</v>
      </c>
      <c r="F227" s="5" t="s">
        <v>960</v>
      </c>
      <c r="G227" s="6" t="s">
        <v>961</v>
      </c>
      <c r="H227" s="6" t="s">
        <v>962</v>
      </c>
      <c r="I227" s="5" t="s">
        <v>294</v>
      </c>
      <c r="J227" s="11" t="n">
        <v>46296</v>
      </c>
      <c r="K227" s="5" t="s">
        <v>12</v>
      </c>
      <c r="L227" s="15" t="s">
        <v>132</v>
      </c>
      <c r="M227" s="5" t="s">
        <v>133</v>
      </c>
      <c r="N227" s="5" t="s">
        <v>134</v>
      </c>
      <c r="O227" s="16" t="s">
        <v>391</v>
      </c>
      <c r="P227" s="5" t="s">
        <v>136</v>
      </c>
      <c r="Q227" s="12" t="n">
        <v>0.85</v>
      </c>
      <c r="R227" s="6" t="s">
        <v>963</v>
      </c>
      <c r="S227" s="7" t="s">
        <v>138</v>
      </c>
    </row>
    <row r="228" customFormat="false" ht="57.45" hidden="false" customHeight="false" outlineLevel="0" collapsed="false">
      <c r="A228" s="5" t="s">
        <v>10</v>
      </c>
      <c r="B228" s="5" t="s">
        <v>72</v>
      </c>
      <c r="C228" s="5" t="n">
        <v>8</v>
      </c>
      <c r="D228" s="6" t="s">
        <v>81</v>
      </c>
      <c r="E228" s="5" t="s">
        <v>290</v>
      </c>
      <c r="F228" s="5" t="s">
        <v>964</v>
      </c>
      <c r="G228" s="6" t="s">
        <v>965</v>
      </c>
      <c r="H228" s="6" t="s">
        <v>966</v>
      </c>
      <c r="I228" s="5" t="s">
        <v>967</v>
      </c>
      <c r="J228" s="11" t="n">
        <v>46302</v>
      </c>
      <c r="K228" s="5" t="s">
        <v>12</v>
      </c>
      <c r="L228" s="15" t="s">
        <v>132</v>
      </c>
      <c r="M228" s="5" t="s">
        <v>133</v>
      </c>
      <c r="N228" s="5" t="s">
        <v>134</v>
      </c>
      <c r="O228" s="16" t="s">
        <v>391</v>
      </c>
      <c r="P228" s="5" t="s">
        <v>135</v>
      </c>
      <c r="Q228" s="12" t="n">
        <v>1</v>
      </c>
      <c r="R228" s="6" t="s">
        <v>968</v>
      </c>
      <c r="S228" s="7" t="s">
        <v>138</v>
      </c>
    </row>
    <row r="229" customFormat="false" ht="35.05" hidden="false" customHeight="false" outlineLevel="0" collapsed="false">
      <c r="A229" s="5" t="s">
        <v>10</v>
      </c>
      <c r="B229" s="5" t="s">
        <v>72</v>
      </c>
      <c r="C229" s="5" t="n">
        <v>8</v>
      </c>
      <c r="D229" s="6" t="s">
        <v>81</v>
      </c>
      <c r="E229" s="5" t="s">
        <v>290</v>
      </c>
      <c r="F229" s="5" t="s">
        <v>969</v>
      </c>
      <c r="G229" s="6" t="s">
        <v>970</v>
      </c>
      <c r="H229" s="6" t="s">
        <v>971</v>
      </c>
      <c r="I229" s="5" t="s">
        <v>967</v>
      </c>
      <c r="J229" s="11" t="n">
        <v>46297</v>
      </c>
      <c r="K229" s="5" t="s">
        <v>12</v>
      </c>
      <c r="L229" s="15" t="s">
        <v>132</v>
      </c>
      <c r="M229" s="5" t="s">
        <v>133</v>
      </c>
      <c r="N229" s="5" t="s">
        <v>134</v>
      </c>
      <c r="O229" s="16" t="s">
        <v>391</v>
      </c>
      <c r="P229" s="5" t="s">
        <v>136</v>
      </c>
      <c r="Q229" s="12" t="n">
        <v>0.85</v>
      </c>
      <c r="R229" s="6" t="s">
        <v>972</v>
      </c>
      <c r="S229" s="7" t="s">
        <v>138</v>
      </c>
    </row>
    <row r="230" customFormat="false" ht="46.25" hidden="false" customHeight="false" outlineLevel="0" collapsed="false">
      <c r="A230" s="5" t="s">
        <v>10</v>
      </c>
      <c r="B230" s="5" t="s">
        <v>72</v>
      </c>
      <c r="C230" s="5" t="n">
        <v>8</v>
      </c>
      <c r="D230" s="6" t="s">
        <v>81</v>
      </c>
      <c r="E230" s="5" t="s">
        <v>319</v>
      </c>
      <c r="F230" s="5" t="s">
        <v>973</v>
      </c>
      <c r="G230" s="6" t="s">
        <v>974</v>
      </c>
      <c r="H230" s="6" t="s">
        <v>975</v>
      </c>
      <c r="I230" s="5" t="s">
        <v>294</v>
      </c>
      <c r="J230" s="11" t="n">
        <v>46296</v>
      </c>
      <c r="K230" s="5" t="s">
        <v>12</v>
      </c>
      <c r="L230" s="15" t="s">
        <v>132</v>
      </c>
      <c r="M230" s="5" t="s">
        <v>133</v>
      </c>
      <c r="N230" s="5" t="s">
        <v>134</v>
      </c>
      <c r="O230" s="16" t="s">
        <v>391</v>
      </c>
      <c r="P230" s="5" t="s">
        <v>323</v>
      </c>
      <c r="Q230" s="12" t="n">
        <v>0.9</v>
      </c>
      <c r="R230" s="6" t="s">
        <v>976</v>
      </c>
      <c r="S230" s="7" t="s">
        <v>138</v>
      </c>
    </row>
    <row r="231" customFormat="false" ht="46.25" hidden="false" customHeight="false" outlineLevel="0" collapsed="false">
      <c r="A231" s="5" t="s">
        <v>10</v>
      </c>
      <c r="B231" s="5" t="s">
        <v>72</v>
      </c>
      <c r="C231" s="5" t="n">
        <v>8</v>
      </c>
      <c r="D231" s="6" t="s">
        <v>81</v>
      </c>
      <c r="E231" s="5" t="s">
        <v>307</v>
      </c>
      <c r="F231" s="5" t="s">
        <v>977</v>
      </c>
      <c r="G231" s="6" t="s">
        <v>978</v>
      </c>
      <c r="H231" s="6" t="s">
        <v>979</v>
      </c>
      <c r="I231" s="5" t="s">
        <v>294</v>
      </c>
      <c r="J231" s="11" t="n">
        <v>46290</v>
      </c>
      <c r="K231" s="5" t="s">
        <v>12</v>
      </c>
      <c r="L231" s="15" t="s">
        <v>132</v>
      </c>
      <c r="M231" s="5" t="s">
        <v>133</v>
      </c>
      <c r="N231" s="5" t="s">
        <v>134</v>
      </c>
      <c r="O231" s="15" t="s">
        <v>135</v>
      </c>
      <c r="P231" s="5" t="s">
        <v>135</v>
      </c>
      <c r="Q231" s="12" t="n">
        <v>0.8</v>
      </c>
      <c r="R231" s="6" t="s">
        <v>980</v>
      </c>
      <c r="S231" s="7" t="s">
        <v>138</v>
      </c>
    </row>
    <row r="232" customFormat="false" ht="46.25" hidden="false" customHeight="false" outlineLevel="0" collapsed="false">
      <c r="A232" s="5" t="s">
        <v>10</v>
      </c>
      <c r="B232" s="5" t="s">
        <v>72</v>
      </c>
      <c r="C232" s="5" t="n">
        <v>8</v>
      </c>
      <c r="D232" s="6" t="s">
        <v>81</v>
      </c>
      <c r="E232" s="5" t="s">
        <v>319</v>
      </c>
      <c r="F232" s="5" t="s">
        <v>981</v>
      </c>
      <c r="G232" s="6" t="s">
        <v>982</v>
      </c>
      <c r="H232" s="6" t="s">
        <v>983</v>
      </c>
      <c r="I232" s="5" t="s">
        <v>294</v>
      </c>
      <c r="J232" s="11" t="n">
        <v>46290</v>
      </c>
      <c r="K232" s="5" t="s">
        <v>12</v>
      </c>
      <c r="L232" s="15" t="s">
        <v>132</v>
      </c>
      <c r="M232" s="5" t="s">
        <v>133</v>
      </c>
      <c r="N232" s="5" t="s">
        <v>134</v>
      </c>
      <c r="O232" s="15" t="s">
        <v>135</v>
      </c>
      <c r="P232" s="5" t="s">
        <v>136</v>
      </c>
      <c r="Q232" s="12" t="n">
        <v>0.8</v>
      </c>
      <c r="R232" s="6" t="s">
        <v>318</v>
      </c>
      <c r="S232" s="7" t="s">
        <v>138</v>
      </c>
    </row>
    <row r="233" customFormat="false" ht="35.05" hidden="false" customHeight="false" outlineLevel="0" collapsed="false">
      <c r="A233" s="5" t="s">
        <v>10</v>
      </c>
      <c r="B233" s="5" t="s">
        <v>72</v>
      </c>
      <c r="C233" s="5" t="n">
        <v>8</v>
      </c>
      <c r="D233" s="6" t="s">
        <v>81</v>
      </c>
      <c r="E233" s="5" t="s">
        <v>319</v>
      </c>
      <c r="F233" s="5" t="s">
        <v>984</v>
      </c>
      <c r="G233" s="6" t="s">
        <v>985</v>
      </c>
      <c r="H233" s="6" t="s">
        <v>986</v>
      </c>
      <c r="I233" s="5" t="s">
        <v>294</v>
      </c>
      <c r="J233" s="11" t="n">
        <v>46290</v>
      </c>
      <c r="K233" s="5" t="s">
        <v>12</v>
      </c>
      <c r="L233" s="15" t="s">
        <v>132</v>
      </c>
      <c r="M233" s="5" t="s">
        <v>133</v>
      </c>
      <c r="N233" s="5" t="s">
        <v>134</v>
      </c>
      <c r="O233" s="15" t="s">
        <v>135</v>
      </c>
      <c r="P233" s="5" t="s">
        <v>136</v>
      </c>
      <c r="Q233" s="12" t="n">
        <v>0.8</v>
      </c>
      <c r="R233" s="6" t="s">
        <v>318</v>
      </c>
      <c r="S233" s="7" t="s">
        <v>138</v>
      </c>
    </row>
    <row r="234" customFormat="false" ht="57.45" hidden="false" customHeight="false" outlineLevel="0" collapsed="false">
      <c r="A234" s="5" t="s">
        <v>10</v>
      </c>
      <c r="B234" s="5" t="s">
        <v>72</v>
      </c>
      <c r="C234" s="5" t="n">
        <v>8</v>
      </c>
      <c r="D234" s="6" t="s">
        <v>81</v>
      </c>
      <c r="E234" s="5" t="s">
        <v>319</v>
      </c>
      <c r="F234" s="5" t="s">
        <v>987</v>
      </c>
      <c r="G234" s="6" t="s">
        <v>988</v>
      </c>
      <c r="H234" s="6" t="s">
        <v>989</v>
      </c>
      <c r="I234" s="5" t="s">
        <v>294</v>
      </c>
      <c r="J234" s="11" t="n">
        <v>46296</v>
      </c>
      <c r="K234" s="5" t="s">
        <v>12</v>
      </c>
      <c r="L234" s="15" t="s">
        <v>132</v>
      </c>
      <c r="M234" s="5" t="s">
        <v>133</v>
      </c>
      <c r="N234" s="5" t="s">
        <v>134</v>
      </c>
      <c r="O234" s="16" t="s">
        <v>391</v>
      </c>
      <c r="P234" s="5" t="s">
        <v>136</v>
      </c>
      <c r="Q234" s="12" t="n">
        <v>0.85</v>
      </c>
      <c r="R234" s="6" t="s">
        <v>990</v>
      </c>
      <c r="S234" s="7" t="s">
        <v>138</v>
      </c>
    </row>
    <row r="235" customFormat="false" ht="35.05" hidden="false" customHeight="false" outlineLevel="0" collapsed="false">
      <c r="A235" s="5" t="s">
        <v>10</v>
      </c>
      <c r="B235" s="5" t="s">
        <v>72</v>
      </c>
      <c r="C235" s="5" t="n">
        <v>8</v>
      </c>
      <c r="D235" s="6" t="s">
        <v>81</v>
      </c>
      <c r="E235" s="5" t="s">
        <v>312</v>
      </c>
      <c r="F235" s="5" t="s">
        <v>991</v>
      </c>
      <c r="G235" s="6" t="s">
        <v>992</v>
      </c>
      <c r="H235" s="6" t="s">
        <v>993</v>
      </c>
      <c r="I235" s="5" t="s">
        <v>294</v>
      </c>
      <c r="J235" s="11" t="n">
        <v>46290</v>
      </c>
      <c r="K235" s="5" t="s">
        <v>12</v>
      </c>
      <c r="L235" s="15" t="s">
        <v>132</v>
      </c>
      <c r="M235" s="5" t="s">
        <v>133</v>
      </c>
      <c r="N235" s="5" t="s">
        <v>134</v>
      </c>
      <c r="O235" s="15" t="s">
        <v>135</v>
      </c>
      <c r="P235" s="5" t="s">
        <v>135</v>
      </c>
      <c r="Q235" s="12" t="n">
        <v>0.75</v>
      </c>
      <c r="R235" s="6" t="s">
        <v>994</v>
      </c>
      <c r="S235" s="7" t="s">
        <v>138</v>
      </c>
    </row>
    <row r="236" customFormat="false" ht="35.05" hidden="false" customHeight="false" outlineLevel="0" collapsed="false">
      <c r="A236" s="5" t="s">
        <v>10</v>
      </c>
      <c r="B236" s="5" t="s">
        <v>72</v>
      </c>
      <c r="C236" s="5" t="n">
        <v>8</v>
      </c>
      <c r="D236" s="6" t="s">
        <v>81</v>
      </c>
      <c r="E236" s="5" t="s">
        <v>995</v>
      </c>
      <c r="F236" s="5" t="s">
        <v>996</v>
      </c>
      <c r="G236" s="6" t="s">
        <v>997</v>
      </c>
      <c r="H236" s="6" t="s">
        <v>998</v>
      </c>
      <c r="I236" s="5" t="s">
        <v>221</v>
      </c>
      <c r="J236" s="11" t="n">
        <v>46290</v>
      </c>
      <c r="K236" s="5" t="s">
        <v>12</v>
      </c>
      <c r="L236" s="15" t="s">
        <v>132</v>
      </c>
      <c r="M236" s="5" t="s">
        <v>133</v>
      </c>
      <c r="N236" s="5" t="s">
        <v>134</v>
      </c>
      <c r="O236" s="15" t="s">
        <v>135</v>
      </c>
      <c r="P236" s="5" t="s">
        <v>136</v>
      </c>
      <c r="Q236" s="12" t="n">
        <v>0.8</v>
      </c>
      <c r="R236" s="6" t="s">
        <v>318</v>
      </c>
      <c r="S236" s="7" t="s">
        <v>138</v>
      </c>
    </row>
    <row r="237" customFormat="false" ht="68.65" hidden="false" customHeight="false" outlineLevel="0" collapsed="false">
      <c r="A237" s="5" t="s">
        <v>10</v>
      </c>
      <c r="B237" s="5" t="s">
        <v>72</v>
      </c>
      <c r="C237" s="5" t="n">
        <v>8</v>
      </c>
      <c r="D237" s="6" t="s">
        <v>81</v>
      </c>
      <c r="E237" s="5" t="s">
        <v>319</v>
      </c>
      <c r="F237" s="5" t="s">
        <v>999</v>
      </c>
      <c r="G237" s="6" t="s">
        <v>1000</v>
      </c>
      <c r="H237" s="6" t="s">
        <v>1001</v>
      </c>
      <c r="I237" s="5" t="s">
        <v>294</v>
      </c>
      <c r="J237" s="11" t="n">
        <v>46296</v>
      </c>
      <c r="K237" s="5" t="s">
        <v>12</v>
      </c>
      <c r="L237" s="15" t="s">
        <v>132</v>
      </c>
      <c r="M237" s="5" t="s">
        <v>133</v>
      </c>
      <c r="N237" s="5" t="s">
        <v>134</v>
      </c>
      <c r="O237" s="16" t="s">
        <v>391</v>
      </c>
      <c r="P237" s="5" t="s">
        <v>136</v>
      </c>
      <c r="Q237" s="12" t="n">
        <v>0.9</v>
      </c>
      <c r="R237" s="6" t="s">
        <v>1002</v>
      </c>
      <c r="S237" s="7" t="s">
        <v>138</v>
      </c>
    </row>
    <row r="238" customFormat="false" ht="46.25" hidden="false" customHeight="false" outlineLevel="0" collapsed="false">
      <c r="A238" s="5" t="s">
        <v>10</v>
      </c>
      <c r="B238" s="5" t="s">
        <v>72</v>
      </c>
      <c r="C238" s="5" t="n">
        <v>8</v>
      </c>
      <c r="D238" s="6" t="s">
        <v>81</v>
      </c>
      <c r="E238" s="5" t="s">
        <v>995</v>
      </c>
      <c r="F238" s="5" t="s">
        <v>1003</v>
      </c>
      <c r="G238" s="6" t="s">
        <v>1004</v>
      </c>
      <c r="H238" s="6" t="s">
        <v>1005</v>
      </c>
      <c r="I238" s="5" t="s">
        <v>221</v>
      </c>
      <c r="J238" s="11" t="n">
        <v>46291</v>
      </c>
      <c r="K238" s="5" t="s">
        <v>12</v>
      </c>
      <c r="L238" s="15" t="s">
        <v>132</v>
      </c>
      <c r="M238" s="5" t="s">
        <v>133</v>
      </c>
      <c r="N238" s="5" t="s">
        <v>134</v>
      </c>
      <c r="O238" s="15" t="s">
        <v>135</v>
      </c>
      <c r="P238" s="5" t="s">
        <v>135</v>
      </c>
      <c r="Q238" s="12" t="n">
        <v>0.9</v>
      </c>
      <c r="R238" s="6" t="s">
        <v>318</v>
      </c>
      <c r="S238" s="7" t="s">
        <v>138</v>
      </c>
    </row>
    <row r="239" customFormat="false" ht="35.05" hidden="false" customHeight="false" outlineLevel="0" collapsed="false">
      <c r="A239" s="5" t="s">
        <v>10</v>
      </c>
      <c r="B239" s="5" t="s">
        <v>72</v>
      </c>
      <c r="C239" s="5" t="n">
        <v>9</v>
      </c>
      <c r="D239" s="6" t="s">
        <v>82</v>
      </c>
      <c r="E239" s="5" t="s">
        <v>1006</v>
      </c>
      <c r="F239" s="5" t="s">
        <v>1007</v>
      </c>
      <c r="G239" s="6" t="s">
        <v>1008</v>
      </c>
      <c r="H239" s="6" t="s">
        <v>1009</v>
      </c>
      <c r="I239" s="5" t="s">
        <v>967</v>
      </c>
      <c r="J239" s="11" t="n">
        <v>46296</v>
      </c>
      <c r="K239" s="5" t="s">
        <v>12</v>
      </c>
      <c r="L239" s="15" t="s">
        <v>132</v>
      </c>
      <c r="M239" s="5" t="s">
        <v>133</v>
      </c>
      <c r="N239" s="5" t="s">
        <v>134</v>
      </c>
      <c r="O239" s="16" t="s">
        <v>391</v>
      </c>
      <c r="P239" s="5" t="s">
        <v>136</v>
      </c>
      <c r="Q239" s="12" t="n">
        <v>0.8</v>
      </c>
      <c r="R239" s="6" t="s">
        <v>1010</v>
      </c>
      <c r="S239" s="7" t="s">
        <v>138</v>
      </c>
    </row>
    <row r="240" customFormat="false" ht="113.4" hidden="false" customHeight="false" outlineLevel="0" collapsed="false">
      <c r="A240" s="5" t="s">
        <v>10</v>
      </c>
      <c r="B240" s="5" t="s">
        <v>72</v>
      </c>
      <c r="C240" s="5" t="n">
        <v>9</v>
      </c>
      <c r="D240" s="6" t="s">
        <v>82</v>
      </c>
      <c r="E240" s="5" t="s">
        <v>299</v>
      </c>
      <c r="F240" s="5" t="s">
        <v>1011</v>
      </c>
      <c r="G240" s="6" t="s">
        <v>1012</v>
      </c>
      <c r="H240" s="6" t="s">
        <v>1013</v>
      </c>
      <c r="I240" s="5" t="s">
        <v>294</v>
      </c>
      <c r="J240" s="11" t="n">
        <v>46297</v>
      </c>
      <c r="K240" s="5" t="s">
        <v>12</v>
      </c>
      <c r="L240" s="15" t="s">
        <v>132</v>
      </c>
      <c r="M240" s="5" t="s">
        <v>133</v>
      </c>
      <c r="N240" s="5" t="s">
        <v>134</v>
      </c>
      <c r="O240" s="16" t="s">
        <v>391</v>
      </c>
      <c r="P240" s="5" t="s">
        <v>135</v>
      </c>
      <c r="Q240" s="12" t="n">
        <v>0.7</v>
      </c>
      <c r="R240" s="6" t="s">
        <v>1014</v>
      </c>
      <c r="S240" s="7" t="s">
        <v>138</v>
      </c>
    </row>
    <row r="241" customFormat="false" ht="35.05" hidden="false" customHeight="false" outlineLevel="0" collapsed="false">
      <c r="A241" s="5" t="s">
        <v>10</v>
      </c>
      <c r="B241" s="5" t="s">
        <v>72</v>
      </c>
      <c r="C241" s="5" t="n">
        <v>9</v>
      </c>
      <c r="D241" s="6" t="s">
        <v>82</v>
      </c>
      <c r="E241" s="5" t="s">
        <v>307</v>
      </c>
      <c r="F241" s="5" t="s">
        <v>1015</v>
      </c>
      <c r="G241" s="6" t="s">
        <v>1016</v>
      </c>
      <c r="H241" s="6" t="s">
        <v>1017</v>
      </c>
      <c r="I241" s="5" t="s">
        <v>967</v>
      </c>
      <c r="J241" s="11" t="n">
        <v>46302</v>
      </c>
      <c r="K241" s="5" t="s">
        <v>12</v>
      </c>
      <c r="L241" s="15" t="s">
        <v>132</v>
      </c>
      <c r="M241" s="5" t="s">
        <v>133</v>
      </c>
      <c r="N241" s="5" t="s">
        <v>134</v>
      </c>
      <c r="O241" s="17" t="s">
        <v>743</v>
      </c>
      <c r="P241" s="5" t="s">
        <v>743</v>
      </c>
      <c r="Q241" s="12" t="n">
        <v>0.05</v>
      </c>
      <c r="R241" s="6" t="s">
        <v>1018</v>
      </c>
      <c r="S241" s="7" t="s">
        <v>138</v>
      </c>
    </row>
    <row r="242" customFormat="false" ht="23.85" hidden="false" customHeight="false" outlineLevel="0" collapsed="false">
      <c r="A242" s="5" t="s">
        <v>10</v>
      </c>
      <c r="B242" s="5" t="s">
        <v>72</v>
      </c>
      <c r="C242" s="5" t="n">
        <v>9</v>
      </c>
      <c r="D242" s="6" t="s">
        <v>82</v>
      </c>
      <c r="E242" s="5" t="s">
        <v>307</v>
      </c>
      <c r="F242" s="5" t="s">
        <v>1019</v>
      </c>
      <c r="G242" s="6" t="s">
        <v>1020</v>
      </c>
      <c r="H242" s="6" t="s">
        <v>1021</v>
      </c>
      <c r="I242" s="5" t="s">
        <v>294</v>
      </c>
      <c r="J242" s="11" t="n">
        <v>46296</v>
      </c>
      <c r="K242" s="5" t="s">
        <v>12</v>
      </c>
      <c r="L242" s="15" t="s">
        <v>132</v>
      </c>
      <c r="M242" s="5" t="s">
        <v>133</v>
      </c>
      <c r="N242" s="5" t="s">
        <v>134</v>
      </c>
      <c r="O242" s="16" t="s">
        <v>391</v>
      </c>
      <c r="P242" s="5" t="s">
        <v>136</v>
      </c>
      <c r="Q242" s="12" t="n">
        <v>0.9</v>
      </c>
      <c r="R242" s="6" t="s">
        <v>1022</v>
      </c>
      <c r="S242" s="7" t="s">
        <v>138</v>
      </c>
    </row>
    <row r="243" customFormat="false" ht="35.05" hidden="false" customHeight="false" outlineLevel="0" collapsed="false">
      <c r="A243" s="5" t="s">
        <v>10</v>
      </c>
      <c r="B243" s="5" t="s">
        <v>72</v>
      </c>
      <c r="C243" s="5" t="n">
        <v>9</v>
      </c>
      <c r="D243" s="6" t="s">
        <v>82</v>
      </c>
      <c r="E243" s="5" t="s">
        <v>307</v>
      </c>
      <c r="F243" s="5" t="s">
        <v>1023</v>
      </c>
      <c r="G243" s="6" t="s">
        <v>1024</v>
      </c>
      <c r="H243" s="6" t="s">
        <v>1025</v>
      </c>
      <c r="I243" s="5" t="s">
        <v>967</v>
      </c>
      <c r="J243" s="11" t="n">
        <v>46290</v>
      </c>
      <c r="K243" s="5" t="s">
        <v>12</v>
      </c>
      <c r="L243" s="15" t="s">
        <v>132</v>
      </c>
      <c r="M243" s="5" t="s">
        <v>133</v>
      </c>
      <c r="N243" s="5" t="s">
        <v>134</v>
      </c>
      <c r="O243" s="15" t="s">
        <v>135</v>
      </c>
      <c r="P243" s="5" t="s">
        <v>136</v>
      </c>
      <c r="Q243" s="12" t="n">
        <v>0.9</v>
      </c>
      <c r="R243" s="6" t="s">
        <v>318</v>
      </c>
      <c r="S243" s="7" t="s">
        <v>138</v>
      </c>
    </row>
    <row r="244" customFormat="false" ht="35.05" hidden="false" customHeight="false" outlineLevel="0" collapsed="false">
      <c r="A244" s="5" t="s">
        <v>10</v>
      </c>
      <c r="B244" s="5" t="s">
        <v>72</v>
      </c>
      <c r="C244" s="5" t="n">
        <v>9</v>
      </c>
      <c r="D244" s="6" t="s">
        <v>82</v>
      </c>
      <c r="E244" s="5" t="s">
        <v>1026</v>
      </c>
      <c r="F244" s="5" t="s">
        <v>1027</v>
      </c>
      <c r="G244" s="6" t="s">
        <v>1028</v>
      </c>
      <c r="H244" s="6" t="s">
        <v>1029</v>
      </c>
      <c r="I244" s="5" t="s">
        <v>967</v>
      </c>
      <c r="J244" s="11" t="n">
        <v>46296</v>
      </c>
      <c r="K244" s="5" t="s">
        <v>12</v>
      </c>
      <c r="L244" s="15" t="s">
        <v>132</v>
      </c>
      <c r="M244" s="5" t="s">
        <v>133</v>
      </c>
      <c r="N244" s="5" t="s">
        <v>134</v>
      </c>
      <c r="O244" s="16" t="s">
        <v>391</v>
      </c>
      <c r="P244" s="5" t="s">
        <v>136</v>
      </c>
      <c r="Q244" s="12" t="n">
        <v>0.85</v>
      </c>
      <c r="R244" s="6" t="s">
        <v>1030</v>
      </c>
      <c r="S244" s="7" t="s">
        <v>138</v>
      </c>
    </row>
    <row r="245" customFormat="false" ht="46.25" hidden="false" customHeight="false" outlineLevel="0" collapsed="false">
      <c r="A245" s="5" t="s">
        <v>10</v>
      </c>
      <c r="B245" s="5" t="s">
        <v>72</v>
      </c>
      <c r="C245" s="5" t="n">
        <v>9</v>
      </c>
      <c r="D245" s="6" t="s">
        <v>82</v>
      </c>
      <c r="E245" s="5" t="s">
        <v>1026</v>
      </c>
      <c r="F245" s="5" t="s">
        <v>1031</v>
      </c>
      <c r="G245" s="6" t="s">
        <v>1032</v>
      </c>
      <c r="H245" s="6" t="s">
        <v>1033</v>
      </c>
      <c r="I245" s="5" t="s">
        <v>967</v>
      </c>
      <c r="J245" s="11" t="n">
        <v>46296</v>
      </c>
      <c r="K245" s="5" t="s">
        <v>12</v>
      </c>
      <c r="L245" s="15" t="s">
        <v>132</v>
      </c>
      <c r="M245" s="5" t="s">
        <v>133</v>
      </c>
      <c r="N245" s="5" t="s">
        <v>134</v>
      </c>
      <c r="O245" s="16" t="s">
        <v>391</v>
      </c>
      <c r="P245" s="5" t="s">
        <v>136</v>
      </c>
      <c r="Q245" s="12" t="n">
        <v>0.85</v>
      </c>
      <c r="R245" s="6" t="s">
        <v>476</v>
      </c>
      <c r="S245" s="7" t="s">
        <v>138</v>
      </c>
    </row>
    <row r="246" customFormat="false" ht="57.45" hidden="false" customHeight="false" outlineLevel="0" collapsed="false">
      <c r="A246" s="5" t="s">
        <v>10</v>
      </c>
      <c r="B246" s="5" t="s">
        <v>72</v>
      </c>
      <c r="C246" s="5" t="n">
        <v>9</v>
      </c>
      <c r="D246" s="6" t="s">
        <v>82</v>
      </c>
      <c r="E246" s="5" t="s">
        <v>307</v>
      </c>
      <c r="F246" s="5" t="s">
        <v>1034</v>
      </c>
      <c r="G246" s="6" t="s">
        <v>1035</v>
      </c>
      <c r="H246" s="6" t="s">
        <v>1036</v>
      </c>
      <c r="I246" s="5" t="s">
        <v>967</v>
      </c>
      <c r="J246" s="11" t="n">
        <v>46297</v>
      </c>
      <c r="K246" s="5" t="s">
        <v>12</v>
      </c>
      <c r="L246" s="15" t="s">
        <v>132</v>
      </c>
      <c r="M246" s="5" t="s">
        <v>133</v>
      </c>
      <c r="N246" s="5" t="s">
        <v>134</v>
      </c>
      <c r="O246" s="16" t="s">
        <v>391</v>
      </c>
      <c r="P246" s="5" t="s">
        <v>136</v>
      </c>
      <c r="Q246" s="12" t="n">
        <v>0.85</v>
      </c>
      <c r="R246" s="6" t="s">
        <v>1037</v>
      </c>
      <c r="S246" s="7" t="s">
        <v>138</v>
      </c>
    </row>
    <row r="247" customFormat="false" ht="68.65" hidden="false" customHeight="false" outlineLevel="0" collapsed="false">
      <c r="A247" s="5" t="s">
        <v>10</v>
      </c>
      <c r="B247" s="5" t="s">
        <v>72</v>
      </c>
      <c r="C247" s="5" t="n">
        <v>9</v>
      </c>
      <c r="D247" s="6" t="s">
        <v>82</v>
      </c>
      <c r="E247" s="5" t="s">
        <v>1038</v>
      </c>
      <c r="F247" s="5" t="s">
        <v>1039</v>
      </c>
      <c r="G247" s="6" t="s">
        <v>1040</v>
      </c>
      <c r="H247" s="6" t="s">
        <v>1041</v>
      </c>
      <c r="I247" s="5" t="s">
        <v>967</v>
      </c>
      <c r="J247" s="11" t="n">
        <v>46302</v>
      </c>
      <c r="K247" s="5" t="s">
        <v>12</v>
      </c>
      <c r="L247" s="15" t="s">
        <v>132</v>
      </c>
      <c r="M247" s="5" t="s">
        <v>133</v>
      </c>
      <c r="N247" s="5" t="s">
        <v>134</v>
      </c>
      <c r="O247" s="17" t="s">
        <v>743</v>
      </c>
      <c r="P247" s="5" t="s">
        <v>743</v>
      </c>
      <c r="Q247" s="12" t="n">
        <v>0.3</v>
      </c>
      <c r="R247" s="6" t="s">
        <v>1042</v>
      </c>
      <c r="S247" s="7" t="s">
        <v>138</v>
      </c>
    </row>
    <row r="248" customFormat="false" ht="68.65" hidden="false" customHeight="false" outlineLevel="0" collapsed="false">
      <c r="A248" s="5" t="s">
        <v>10</v>
      </c>
      <c r="B248" s="5" t="s">
        <v>72</v>
      </c>
      <c r="C248" s="5" t="n">
        <v>9</v>
      </c>
      <c r="D248" s="6" t="s">
        <v>82</v>
      </c>
      <c r="E248" s="5" t="s">
        <v>307</v>
      </c>
      <c r="F248" s="5" t="s">
        <v>1043</v>
      </c>
      <c r="G248" s="6" t="s">
        <v>1044</v>
      </c>
      <c r="H248" s="6" t="s">
        <v>1045</v>
      </c>
      <c r="I248" s="5" t="s">
        <v>294</v>
      </c>
      <c r="J248" s="11" t="n">
        <v>46297</v>
      </c>
      <c r="K248" s="5" t="s">
        <v>12</v>
      </c>
      <c r="L248" s="15" t="s">
        <v>132</v>
      </c>
      <c r="M248" s="5" t="s">
        <v>133</v>
      </c>
      <c r="N248" s="5" t="s">
        <v>134</v>
      </c>
      <c r="O248" s="16" t="s">
        <v>391</v>
      </c>
      <c r="P248" s="5" t="s">
        <v>135</v>
      </c>
      <c r="Q248" s="12" t="n">
        <v>0.8</v>
      </c>
      <c r="R248" s="6" t="s">
        <v>1046</v>
      </c>
      <c r="S248" s="7" t="s">
        <v>138</v>
      </c>
    </row>
    <row r="249" customFormat="false" ht="57.45" hidden="false" customHeight="false" outlineLevel="0" collapsed="false">
      <c r="A249" s="5" t="s">
        <v>10</v>
      </c>
      <c r="B249" s="5" t="s">
        <v>72</v>
      </c>
      <c r="C249" s="5" t="n">
        <v>9</v>
      </c>
      <c r="D249" s="6" t="s">
        <v>82</v>
      </c>
      <c r="E249" s="5" t="s">
        <v>1038</v>
      </c>
      <c r="F249" s="5" t="s">
        <v>1047</v>
      </c>
      <c r="G249" s="6" t="s">
        <v>1048</v>
      </c>
      <c r="H249" s="6" t="s">
        <v>1049</v>
      </c>
      <c r="I249" s="5" t="s">
        <v>967</v>
      </c>
      <c r="J249" s="11" t="n">
        <v>46297</v>
      </c>
      <c r="K249" s="5" t="s">
        <v>12</v>
      </c>
      <c r="L249" s="15" t="s">
        <v>132</v>
      </c>
      <c r="M249" s="5" t="s">
        <v>133</v>
      </c>
      <c r="N249" s="5" t="s">
        <v>134</v>
      </c>
      <c r="O249" s="16" t="s">
        <v>391</v>
      </c>
      <c r="P249" s="5" t="s">
        <v>136</v>
      </c>
      <c r="Q249" s="12" t="n">
        <v>0.75</v>
      </c>
      <c r="R249" s="6" t="s">
        <v>1050</v>
      </c>
      <c r="S249" s="7" t="s">
        <v>138</v>
      </c>
    </row>
    <row r="250" customFormat="false" ht="15" hidden="false" customHeight="false" outlineLevel="0" collapsed="false">
      <c r="A250" s="5" t="s">
        <v>10</v>
      </c>
      <c r="B250" s="5" t="s">
        <v>72</v>
      </c>
      <c r="C250" s="5" t="n">
        <v>9</v>
      </c>
      <c r="D250" s="6" t="s">
        <v>82</v>
      </c>
      <c r="E250" s="5" t="s">
        <v>1051</v>
      </c>
      <c r="F250" s="5" t="s">
        <v>1052</v>
      </c>
      <c r="G250" s="6" t="s">
        <v>1053</v>
      </c>
      <c r="H250" s="6" t="s">
        <v>1054</v>
      </c>
      <c r="I250" s="5" t="s">
        <v>967</v>
      </c>
      <c r="J250" s="11" t="n">
        <v>46302</v>
      </c>
      <c r="K250" s="5" t="s">
        <v>12</v>
      </c>
      <c r="L250" s="15" t="s">
        <v>132</v>
      </c>
      <c r="M250" s="5" t="s">
        <v>133</v>
      </c>
      <c r="N250" s="5" t="s">
        <v>134</v>
      </c>
      <c r="O250" s="17" t="s">
        <v>743</v>
      </c>
      <c r="P250" s="5" t="s">
        <v>743</v>
      </c>
      <c r="Q250" s="12" t="n">
        <v>0.65</v>
      </c>
      <c r="R250" s="6" t="s">
        <v>1055</v>
      </c>
      <c r="S250" s="7" t="s">
        <v>138</v>
      </c>
    </row>
    <row r="251" customFormat="false" ht="124.6" hidden="false" customHeight="false" outlineLevel="0" collapsed="false">
      <c r="A251" s="5" t="s">
        <v>10</v>
      </c>
      <c r="B251" s="5" t="s">
        <v>72</v>
      </c>
      <c r="C251" s="5" t="n">
        <v>9</v>
      </c>
      <c r="D251" s="6" t="s">
        <v>82</v>
      </c>
      <c r="E251" s="5" t="s">
        <v>1026</v>
      </c>
      <c r="F251" s="5" t="s">
        <v>1056</v>
      </c>
      <c r="G251" s="6" t="s">
        <v>1057</v>
      </c>
      <c r="H251" s="6" t="s">
        <v>1058</v>
      </c>
      <c r="I251" s="5" t="s">
        <v>967</v>
      </c>
      <c r="J251" s="11" t="n">
        <v>46302</v>
      </c>
      <c r="K251" s="5" t="s">
        <v>12</v>
      </c>
      <c r="L251" s="15" t="s">
        <v>132</v>
      </c>
      <c r="M251" s="5" t="s">
        <v>133</v>
      </c>
      <c r="N251" s="5" t="s">
        <v>134</v>
      </c>
      <c r="O251" s="17" t="s">
        <v>743</v>
      </c>
      <c r="P251" s="5" t="s">
        <v>743</v>
      </c>
      <c r="Q251" s="12" t="n">
        <v>0.9</v>
      </c>
      <c r="R251" s="6" t="s">
        <v>1059</v>
      </c>
      <c r="S251" s="7" t="s">
        <v>138</v>
      </c>
    </row>
    <row r="252" customFormat="false" ht="23.85" hidden="false" customHeight="false" outlineLevel="0" collapsed="false">
      <c r="A252" s="5" t="s">
        <v>10</v>
      </c>
      <c r="B252" s="5" t="s">
        <v>72</v>
      </c>
      <c r="C252" s="5" t="n">
        <v>9</v>
      </c>
      <c r="D252" s="6" t="s">
        <v>82</v>
      </c>
      <c r="E252" s="5" t="s">
        <v>1026</v>
      </c>
      <c r="F252" s="5" t="s">
        <v>1060</v>
      </c>
      <c r="G252" s="6" t="s">
        <v>1061</v>
      </c>
      <c r="H252" s="6" t="s">
        <v>1062</v>
      </c>
      <c r="I252" s="5" t="s">
        <v>967</v>
      </c>
      <c r="J252" s="11" t="n">
        <v>46296</v>
      </c>
      <c r="K252" s="5" t="s">
        <v>12</v>
      </c>
      <c r="L252" s="15" t="s">
        <v>132</v>
      </c>
      <c r="M252" s="5" t="s">
        <v>133</v>
      </c>
      <c r="N252" s="5" t="s">
        <v>134</v>
      </c>
      <c r="O252" s="16" t="s">
        <v>391</v>
      </c>
      <c r="P252" s="5" t="s">
        <v>136</v>
      </c>
      <c r="Q252" s="12" t="n">
        <v>0.75</v>
      </c>
      <c r="R252" s="6" t="s">
        <v>476</v>
      </c>
      <c r="S252" s="7" t="s">
        <v>138</v>
      </c>
    </row>
    <row r="253" customFormat="false" ht="15" hidden="false" customHeight="false" outlineLevel="0" collapsed="false">
      <c r="A253" s="5" t="s">
        <v>10</v>
      </c>
      <c r="B253" s="5" t="s">
        <v>72</v>
      </c>
      <c r="C253" s="5" t="n">
        <v>9</v>
      </c>
      <c r="D253" s="6" t="s">
        <v>82</v>
      </c>
      <c r="E253" s="5" t="s">
        <v>1051</v>
      </c>
      <c r="F253" s="5" t="s">
        <v>1063</v>
      </c>
      <c r="G253" s="6" t="s">
        <v>1064</v>
      </c>
      <c r="H253" s="6" t="s">
        <v>1065</v>
      </c>
      <c r="I253" s="5" t="s">
        <v>967</v>
      </c>
      <c r="J253" s="11" t="n">
        <v>46302</v>
      </c>
      <c r="K253" s="5" t="s">
        <v>12</v>
      </c>
      <c r="L253" s="15" t="s">
        <v>132</v>
      </c>
      <c r="M253" s="5" t="s">
        <v>133</v>
      </c>
      <c r="N253" s="5" t="s">
        <v>134</v>
      </c>
      <c r="O253" s="15" t="s">
        <v>135</v>
      </c>
      <c r="P253" s="5" t="s">
        <v>136</v>
      </c>
      <c r="Q253" s="12" t="n">
        <v>0.75</v>
      </c>
      <c r="R253" s="6" t="s">
        <v>318</v>
      </c>
      <c r="S253" s="7" t="s">
        <v>138</v>
      </c>
    </row>
    <row r="254" customFormat="false" ht="35.05" hidden="false" customHeight="false" outlineLevel="0" collapsed="false">
      <c r="A254" s="5" t="s">
        <v>10</v>
      </c>
      <c r="B254" s="5" t="s">
        <v>72</v>
      </c>
      <c r="C254" s="5" t="n">
        <v>9</v>
      </c>
      <c r="D254" s="6" t="s">
        <v>82</v>
      </c>
      <c r="E254" s="5" t="s">
        <v>1051</v>
      </c>
      <c r="F254" s="5" t="s">
        <v>1066</v>
      </c>
      <c r="G254" s="6" t="s">
        <v>1067</v>
      </c>
      <c r="H254" s="6" t="s">
        <v>1068</v>
      </c>
      <c r="I254" s="5" t="s">
        <v>967</v>
      </c>
      <c r="J254" s="11" t="n">
        <v>46302</v>
      </c>
      <c r="K254" s="5" t="s">
        <v>12</v>
      </c>
      <c r="L254" s="15" t="s">
        <v>132</v>
      </c>
      <c r="M254" s="5" t="s">
        <v>133</v>
      </c>
      <c r="N254" s="5" t="s">
        <v>134</v>
      </c>
      <c r="O254" s="16" t="s">
        <v>391</v>
      </c>
      <c r="P254" s="5" t="s">
        <v>136</v>
      </c>
      <c r="Q254" s="12" t="n">
        <v>0.8</v>
      </c>
      <c r="R254" s="6" t="s">
        <v>476</v>
      </c>
      <c r="S254" s="7" t="s">
        <v>138</v>
      </c>
    </row>
    <row r="255" customFormat="false" ht="23.85" hidden="false" customHeight="false" outlineLevel="0" collapsed="false">
      <c r="A255" s="5" t="s">
        <v>10</v>
      </c>
      <c r="B255" s="5" t="s">
        <v>72</v>
      </c>
      <c r="C255" s="5" t="n">
        <v>9</v>
      </c>
      <c r="D255" s="6" t="s">
        <v>82</v>
      </c>
      <c r="E255" s="5" t="s">
        <v>1051</v>
      </c>
      <c r="F255" s="5" t="s">
        <v>1069</v>
      </c>
      <c r="G255" s="6" t="s">
        <v>1070</v>
      </c>
      <c r="H255" s="6" t="s">
        <v>1071</v>
      </c>
      <c r="I255" s="5" t="s">
        <v>967</v>
      </c>
      <c r="J255" s="11" t="n">
        <v>46296</v>
      </c>
      <c r="K255" s="5" t="s">
        <v>12</v>
      </c>
      <c r="L255" s="15" t="s">
        <v>132</v>
      </c>
      <c r="M255" s="5" t="s">
        <v>133</v>
      </c>
      <c r="N255" s="5" t="s">
        <v>134</v>
      </c>
      <c r="O255" s="16" t="s">
        <v>391</v>
      </c>
      <c r="P255" s="5" t="s">
        <v>136</v>
      </c>
      <c r="Q255" s="12" t="n">
        <v>0.75</v>
      </c>
      <c r="R255" s="6" t="s">
        <v>1072</v>
      </c>
      <c r="S255" s="7" t="s">
        <v>138</v>
      </c>
    </row>
    <row r="256" customFormat="false" ht="46.25" hidden="false" customHeight="false" outlineLevel="0" collapsed="false">
      <c r="A256" s="5" t="s">
        <v>10</v>
      </c>
      <c r="B256" s="5" t="s">
        <v>72</v>
      </c>
      <c r="C256" s="5" t="n">
        <v>9</v>
      </c>
      <c r="D256" s="6" t="s">
        <v>82</v>
      </c>
      <c r="E256" s="5" t="s">
        <v>1051</v>
      </c>
      <c r="F256" s="5" t="s">
        <v>1073</v>
      </c>
      <c r="G256" s="6" t="s">
        <v>1074</v>
      </c>
      <c r="H256" s="6" t="s">
        <v>1075</v>
      </c>
      <c r="I256" s="5" t="s">
        <v>967</v>
      </c>
      <c r="J256" s="11" t="n">
        <v>46302</v>
      </c>
      <c r="K256" s="5" t="s">
        <v>12</v>
      </c>
      <c r="L256" s="15" t="s">
        <v>132</v>
      </c>
      <c r="M256" s="5" t="s">
        <v>133</v>
      </c>
      <c r="N256" s="5" t="s">
        <v>134</v>
      </c>
      <c r="O256" s="16" t="s">
        <v>391</v>
      </c>
      <c r="P256" s="5" t="s">
        <v>135</v>
      </c>
      <c r="Q256" s="12" t="n">
        <v>0.45</v>
      </c>
      <c r="R256" s="6" t="s">
        <v>1076</v>
      </c>
      <c r="S256" s="7" t="s">
        <v>138</v>
      </c>
    </row>
    <row r="257" customFormat="false" ht="57.45" hidden="false" customHeight="false" outlineLevel="0" collapsed="false">
      <c r="A257" s="5" t="s">
        <v>10</v>
      </c>
      <c r="B257" s="5" t="s">
        <v>72</v>
      </c>
      <c r="C257" s="5" t="n">
        <v>9</v>
      </c>
      <c r="D257" s="6" t="s">
        <v>82</v>
      </c>
      <c r="E257" s="5" t="s">
        <v>290</v>
      </c>
      <c r="F257" s="5" t="s">
        <v>1077</v>
      </c>
      <c r="G257" s="6" t="s">
        <v>1078</v>
      </c>
      <c r="H257" s="6" t="s">
        <v>1079</v>
      </c>
      <c r="I257" s="5" t="s">
        <v>967</v>
      </c>
      <c r="J257" s="11" t="n">
        <v>46302</v>
      </c>
      <c r="K257" s="5" t="s">
        <v>12</v>
      </c>
      <c r="L257" s="15" t="s">
        <v>132</v>
      </c>
      <c r="M257" s="5" t="s">
        <v>133</v>
      </c>
      <c r="N257" s="5" t="s">
        <v>134</v>
      </c>
      <c r="O257" s="16" t="s">
        <v>391</v>
      </c>
      <c r="P257" s="5" t="s">
        <v>135</v>
      </c>
      <c r="Q257" s="12" t="n">
        <v>0.9</v>
      </c>
      <c r="R257" s="6" t="s">
        <v>157</v>
      </c>
      <c r="S257" s="7" t="s">
        <v>138</v>
      </c>
    </row>
    <row r="258" customFormat="false" ht="68.65" hidden="false" customHeight="false" outlineLevel="0" collapsed="false">
      <c r="A258" s="5" t="s">
        <v>10</v>
      </c>
      <c r="B258" s="5" t="s">
        <v>72</v>
      </c>
      <c r="C258" s="5" t="n">
        <v>9</v>
      </c>
      <c r="D258" s="6" t="s">
        <v>82</v>
      </c>
      <c r="E258" s="5" t="s">
        <v>290</v>
      </c>
      <c r="F258" s="5" t="s">
        <v>1080</v>
      </c>
      <c r="G258" s="6" t="s">
        <v>1081</v>
      </c>
      <c r="H258" s="6" t="s">
        <v>1082</v>
      </c>
      <c r="I258" s="5" t="s">
        <v>967</v>
      </c>
      <c r="J258" s="11" t="n">
        <v>46302</v>
      </c>
      <c r="K258" s="5" t="s">
        <v>12</v>
      </c>
      <c r="L258" s="15" t="s">
        <v>132</v>
      </c>
      <c r="M258" s="5" t="s">
        <v>133</v>
      </c>
      <c r="N258" s="5" t="s">
        <v>134</v>
      </c>
      <c r="O258" s="16" t="s">
        <v>391</v>
      </c>
      <c r="P258" s="5" t="s">
        <v>135</v>
      </c>
      <c r="Q258" s="12" t="n">
        <v>0.85</v>
      </c>
      <c r="R258" s="6" t="s">
        <v>1083</v>
      </c>
      <c r="S258" s="7" t="s">
        <v>138</v>
      </c>
    </row>
    <row r="259" customFormat="false" ht="57.45" hidden="false" customHeight="false" outlineLevel="0" collapsed="false">
      <c r="A259" s="5" t="s">
        <v>10</v>
      </c>
      <c r="B259" s="5" t="s">
        <v>72</v>
      </c>
      <c r="C259" s="5" t="n">
        <v>9</v>
      </c>
      <c r="D259" s="6" t="s">
        <v>82</v>
      </c>
      <c r="E259" s="5" t="s">
        <v>179</v>
      </c>
      <c r="F259" s="5" t="s">
        <v>1084</v>
      </c>
      <c r="G259" s="6" t="s">
        <v>1085</v>
      </c>
      <c r="H259" s="6" t="s">
        <v>1086</v>
      </c>
      <c r="I259" s="5" t="s">
        <v>183</v>
      </c>
      <c r="J259" s="11" t="n">
        <v>46302</v>
      </c>
      <c r="K259" s="5" t="s">
        <v>12</v>
      </c>
      <c r="L259" s="15" t="s">
        <v>132</v>
      </c>
      <c r="M259" s="5" t="s">
        <v>133</v>
      </c>
      <c r="N259" s="5" t="s">
        <v>134</v>
      </c>
      <c r="O259" s="16" t="s">
        <v>391</v>
      </c>
      <c r="P259" s="5" t="s">
        <v>135</v>
      </c>
      <c r="Q259" s="12" t="n">
        <v>0.85</v>
      </c>
      <c r="R259" s="6" t="s">
        <v>1087</v>
      </c>
      <c r="S259" s="7" t="s">
        <v>138</v>
      </c>
    </row>
    <row r="260" customFormat="false" ht="57.45" hidden="false" customHeight="false" outlineLevel="0" collapsed="false">
      <c r="A260" s="5" t="s">
        <v>10</v>
      </c>
      <c r="B260" s="5" t="s">
        <v>72</v>
      </c>
      <c r="C260" s="5" t="n">
        <v>9</v>
      </c>
      <c r="D260" s="6" t="s">
        <v>82</v>
      </c>
      <c r="E260" s="5" t="s">
        <v>252</v>
      </c>
      <c r="F260" s="5" t="s">
        <v>1088</v>
      </c>
      <c r="G260" s="6" t="s">
        <v>1089</v>
      </c>
      <c r="H260" s="6" t="s">
        <v>1090</v>
      </c>
      <c r="I260" s="5" t="s">
        <v>221</v>
      </c>
      <c r="J260" s="11" t="n">
        <v>46297</v>
      </c>
      <c r="K260" s="5" t="s">
        <v>12</v>
      </c>
      <c r="L260" s="15" t="s">
        <v>132</v>
      </c>
      <c r="M260" s="5" t="s">
        <v>133</v>
      </c>
      <c r="N260" s="5" t="s">
        <v>134</v>
      </c>
      <c r="O260" s="16" t="s">
        <v>391</v>
      </c>
      <c r="P260" s="5" t="s">
        <v>136</v>
      </c>
      <c r="Q260" s="12" t="n">
        <v>0.75</v>
      </c>
      <c r="R260" s="6" t="s">
        <v>1091</v>
      </c>
      <c r="S260" s="7" t="s">
        <v>138</v>
      </c>
    </row>
    <row r="261" customFormat="false" ht="57.45" hidden="false" customHeight="false" outlineLevel="0" collapsed="false">
      <c r="A261" s="5" t="s">
        <v>10</v>
      </c>
      <c r="B261" s="5" t="s">
        <v>72</v>
      </c>
      <c r="C261" s="5" t="n">
        <v>9</v>
      </c>
      <c r="D261" s="6" t="s">
        <v>82</v>
      </c>
      <c r="E261" s="5" t="s">
        <v>232</v>
      </c>
      <c r="F261" s="5" t="s">
        <v>1092</v>
      </c>
      <c r="G261" s="6" t="s">
        <v>1093</v>
      </c>
      <c r="H261" s="6" t="s">
        <v>1094</v>
      </c>
      <c r="I261" s="5" t="s">
        <v>967</v>
      </c>
      <c r="J261" s="11" t="n">
        <v>46297</v>
      </c>
      <c r="K261" s="5" t="s">
        <v>12</v>
      </c>
      <c r="L261" s="15" t="s">
        <v>132</v>
      </c>
      <c r="M261" s="5" t="s">
        <v>133</v>
      </c>
      <c r="N261" s="5" t="s">
        <v>134</v>
      </c>
      <c r="O261" s="16" t="s">
        <v>391</v>
      </c>
      <c r="P261" s="5" t="s">
        <v>135</v>
      </c>
      <c r="Q261" s="12" t="n">
        <v>0.75</v>
      </c>
      <c r="R261" s="6" t="s">
        <v>1095</v>
      </c>
      <c r="S261" s="7" t="s">
        <v>138</v>
      </c>
    </row>
    <row r="262" customFormat="false" ht="35.05" hidden="false" customHeight="false" outlineLevel="0" collapsed="false">
      <c r="A262" s="5" t="s">
        <v>10</v>
      </c>
      <c r="B262" s="5" t="s">
        <v>72</v>
      </c>
      <c r="C262" s="5" t="n">
        <v>9</v>
      </c>
      <c r="D262" s="6" t="s">
        <v>82</v>
      </c>
      <c r="E262" s="5" t="s">
        <v>1096</v>
      </c>
      <c r="F262" s="5" t="s">
        <v>1097</v>
      </c>
      <c r="G262" s="6" t="s">
        <v>1098</v>
      </c>
      <c r="H262" s="6" t="s">
        <v>1099</v>
      </c>
      <c r="I262" s="5" t="s">
        <v>967</v>
      </c>
      <c r="J262" s="11" t="n">
        <v>46302</v>
      </c>
      <c r="K262" s="5" t="s">
        <v>12</v>
      </c>
      <c r="L262" s="15" t="s">
        <v>132</v>
      </c>
      <c r="M262" s="5" t="s">
        <v>133</v>
      </c>
      <c r="N262" s="5" t="s">
        <v>134</v>
      </c>
      <c r="O262" s="16" t="s">
        <v>391</v>
      </c>
      <c r="P262" s="5" t="s">
        <v>136</v>
      </c>
      <c r="Q262" s="12" t="n">
        <v>0.7</v>
      </c>
      <c r="R262" s="6" t="s">
        <v>1100</v>
      </c>
      <c r="S262" s="7" t="s">
        <v>138</v>
      </c>
    </row>
    <row r="263" customFormat="false" ht="23.85" hidden="false" customHeight="false" outlineLevel="0" collapsed="false">
      <c r="A263" s="5" t="s">
        <v>10</v>
      </c>
      <c r="B263" s="5" t="s">
        <v>72</v>
      </c>
      <c r="C263" s="5" t="n">
        <v>9</v>
      </c>
      <c r="D263" s="6" t="s">
        <v>82</v>
      </c>
      <c r="E263" s="5" t="s">
        <v>1101</v>
      </c>
      <c r="F263" s="5" t="s">
        <v>1102</v>
      </c>
      <c r="G263" s="6" t="s">
        <v>1103</v>
      </c>
      <c r="H263" s="6" t="s">
        <v>1104</v>
      </c>
      <c r="I263" s="5" t="s">
        <v>967</v>
      </c>
      <c r="J263" s="11" t="n">
        <v>46296</v>
      </c>
      <c r="K263" s="5" t="s">
        <v>12</v>
      </c>
      <c r="L263" s="15" t="s">
        <v>132</v>
      </c>
      <c r="M263" s="5" t="s">
        <v>133</v>
      </c>
      <c r="N263" s="5" t="s">
        <v>134</v>
      </c>
      <c r="O263" s="16" t="s">
        <v>391</v>
      </c>
      <c r="P263" s="5" t="s">
        <v>136</v>
      </c>
      <c r="Q263" s="12" t="n">
        <v>0.8</v>
      </c>
      <c r="R263" s="6" t="s">
        <v>476</v>
      </c>
      <c r="S263" s="7" t="s">
        <v>138</v>
      </c>
    </row>
    <row r="264" customFormat="false" ht="46.25" hidden="false" customHeight="false" outlineLevel="0" collapsed="false">
      <c r="A264" s="5" t="s">
        <v>10</v>
      </c>
      <c r="B264" s="5" t="s">
        <v>72</v>
      </c>
      <c r="C264" s="5" t="n">
        <v>9</v>
      </c>
      <c r="D264" s="6" t="s">
        <v>82</v>
      </c>
      <c r="E264" s="5" t="s">
        <v>655</v>
      </c>
      <c r="F264" s="5" t="s">
        <v>1105</v>
      </c>
      <c r="G264" s="6" t="s">
        <v>1106</v>
      </c>
      <c r="H264" s="6" t="s">
        <v>1107</v>
      </c>
      <c r="I264" s="5" t="s">
        <v>198</v>
      </c>
      <c r="J264" s="11" t="n">
        <v>46297</v>
      </c>
      <c r="K264" s="5" t="s">
        <v>12</v>
      </c>
      <c r="L264" s="15" t="s">
        <v>132</v>
      </c>
      <c r="M264" s="5" t="s">
        <v>133</v>
      </c>
      <c r="N264" s="5" t="s">
        <v>134</v>
      </c>
      <c r="O264" s="16" t="s">
        <v>391</v>
      </c>
      <c r="P264" s="5" t="s">
        <v>136</v>
      </c>
      <c r="Q264" s="12" t="n">
        <v>0.85</v>
      </c>
      <c r="R264" s="6" t="s">
        <v>1108</v>
      </c>
      <c r="S264" s="7" t="s">
        <v>138</v>
      </c>
    </row>
    <row r="265" customFormat="false" ht="46.25" hidden="false" customHeight="false" outlineLevel="0" collapsed="false">
      <c r="A265" s="5" t="s">
        <v>10</v>
      </c>
      <c r="B265" s="5" t="s">
        <v>72</v>
      </c>
      <c r="C265" s="5" t="n">
        <v>9</v>
      </c>
      <c r="D265" s="6" t="s">
        <v>82</v>
      </c>
      <c r="E265" s="5" t="s">
        <v>703</v>
      </c>
      <c r="F265" s="5" t="s">
        <v>1109</v>
      </c>
      <c r="G265" s="6" t="s">
        <v>1110</v>
      </c>
      <c r="H265" s="6" t="s">
        <v>1111</v>
      </c>
      <c r="I265" s="5" t="s">
        <v>168</v>
      </c>
      <c r="J265" s="11" t="n">
        <v>46297</v>
      </c>
      <c r="K265" s="5" t="s">
        <v>12</v>
      </c>
      <c r="L265" s="15" t="s">
        <v>132</v>
      </c>
      <c r="M265" s="5" t="s">
        <v>133</v>
      </c>
      <c r="N265" s="5" t="s">
        <v>134</v>
      </c>
      <c r="O265" s="16" t="s">
        <v>391</v>
      </c>
      <c r="P265" s="5" t="s">
        <v>136</v>
      </c>
      <c r="Q265" s="12" t="n">
        <v>0.85</v>
      </c>
      <c r="R265" s="6" t="s">
        <v>1112</v>
      </c>
      <c r="S265" s="7" t="s">
        <v>138</v>
      </c>
    </row>
    <row r="266" customFormat="false" ht="91" hidden="false" customHeight="false" outlineLevel="0" collapsed="false">
      <c r="A266" s="5" t="s">
        <v>10</v>
      </c>
      <c r="B266" s="5" t="s">
        <v>72</v>
      </c>
      <c r="C266" s="5" t="n">
        <v>9</v>
      </c>
      <c r="D266" s="6" t="s">
        <v>82</v>
      </c>
      <c r="E266" s="5" t="s">
        <v>319</v>
      </c>
      <c r="F266" s="5" t="s">
        <v>1113</v>
      </c>
      <c r="G266" s="6" t="s">
        <v>1114</v>
      </c>
      <c r="H266" s="6" t="s">
        <v>1115</v>
      </c>
      <c r="I266" s="5" t="s">
        <v>294</v>
      </c>
      <c r="J266" s="11" t="n">
        <v>46302</v>
      </c>
      <c r="K266" s="5" t="s">
        <v>12</v>
      </c>
      <c r="L266" s="15" t="s">
        <v>132</v>
      </c>
      <c r="M266" s="5" t="s">
        <v>133</v>
      </c>
      <c r="N266" s="5" t="s">
        <v>134</v>
      </c>
      <c r="O266" s="16" t="s">
        <v>391</v>
      </c>
      <c r="P266" s="5" t="s">
        <v>323</v>
      </c>
      <c r="Q266" s="12" t="n">
        <v>0.75</v>
      </c>
      <c r="R266" s="6" t="s">
        <v>1116</v>
      </c>
      <c r="S266" s="7" t="s">
        <v>138</v>
      </c>
    </row>
    <row r="267" customFormat="false" ht="35.05" hidden="false" customHeight="false" outlineLevel="0" collapsed="false">
      <c r="A267" s="5" t="s">
        <v>10</v>
      </c>
      <c r="B267" s="5" t="s">
        <v>72</v>
      </c>
      <c r="C267" s="5" t="n">
        <v>9</v>
      </c>
      <c r="D267" s="6" t="s">
        <v>82</v>
      </c>
      <c r="E267" s="5" t="s">
        <v>319</v>
      </c>
      <c r="F267" s="5" t="s">
        <v>1117</v>
      </c>
      <c r="G267" s="6" t="s">
        <v>1118</v>
      </c>
      <c r="H267" s="6" t="s">
        <v>1119</v>
      </c>
      <c r="I267" s="5" t="s">
        <v>967</v>
      </c>
      <c r="J267" s="11" t="n">
        <v>46302</v>
      </c>
      <c r="K267" s="5" t="s">
        <v>12</v>
      </c>
      <c r="L267" s="15" t="s">
        <v>132</v>
      </c>
      <c r="M267" s="5" t="s">
        <v>133</v>
      </c>
      <c r="N267" s="5" t="s">
        <v>134</v>
      </c>
      <c r="O267" s="17" t="s">
        <v>743</v>
      </c>
      <c r="P267" s="5" t="s">
        <v>743</v>
      </c>
      <c r="Q267" s="12" t="n">
        <v>0.5</v>
      </c>
      <c r="R267" s="6" t="s">
        <v>1120</v>
      </c>
      <c r="S267" s="7" t="s">
        <v>138</v>
      </c>
    </row>
    <row r="268" customFormat="false" ht="23.85" hidden="false" customHeight="false" outlineLevel="0" collapsed="false">
      <c r="A268" s="5" t="s">
        <v>10</v>
      </c>
      <c r="B268" s="5" t="s">
        <v>72</v>
      </c>
      <c r="C268" s="5" t="n">
        <v>10</v>
      </c>
      <c r="D268" s="6" t="s">
        <v>83</v>
      </c>
      <c r="E268" s="5" t="s">
        <v>1121</v>
      </c>
      <c r="F268" s="5" t="s">
        <v>1122</v>
      </c>
      <c r="G268" s="6" t="s">
        <v>1123</v>
      </c>
      <c r="H268" s="6" t="s">
        <v>1124</v>
      </c>
      <c r="I268" s="5" t="s">
        <v>1125</v>
      </c>
      <c r="J268" s="11" t="n">
        <v>46291</v>
      </c>
      <c r="K268" s="5" t="s">
        <v>12</v>
      </c>
      <c r="L268" s="15" t="s">
        <v>132</v>
      </c>
      <c r="M268" s="5" t="s">
        <v>133</v>
      </c>
      <c r="N268" s="5" t="s">
        <v>134</v>
      </c>
      <c r="O268" s="16" t="s">
        <v>391</v>
      </c>
      <c r="P268" s="5" t="s">
        <v>135</v>
      </c>
      <c r="Q268" s="12" t="n">
        <v>0.8</v>
      </c>
      <c r="R268" s="6" t="s">
        <v>1126</v>
      </c>
      <c r="S268" s="7" t="s">
        <v>138</v>
      </c>
    </row>
    <row r="269" customFormat="false" ht="23.85" hidden="false" customHeight="false" outlineLevel="0" collapsed="false">
      <c r="A269" s="5" t="s">
        <v>10</v>
      </c>
      <c r="B269" s="5" t="s">
        <v>72</v>
      </c>
      <c r="C269" s="5" t="n">
        <v>10</v>
      </c>
      <c r="D269" s="6" t="s">
        <v>83</v>
      </c>
      <c r="E269" s="5" t="s">
        <v>1121</v>
      </c>
      <c r="F269" s="5" t="s">
        <v>1127</v>
      </c>
      <c r="G269" s="6" t="s">
        <v>1128</v>
      </c>
      <c r="H269" s="6" t="s">
        <v>1129</v>
      </c>
      <c r="I269" s="5" t="s">
        <v>1130</v>
      </c>
      <c r="J269" s="11" t="n">
        <v>46291</v>
      </c>
      <c r="K269" s="5" t="s">
        <v>12</v>
      </c>
      <c r="L269" s="15" t="s">
        <v>132</v>
      </c>
      <c r="M269" s="5" t="s">
        <v>133</v>
      </c>
      <c r="N269" s="5" t="s">
        <v>134</v>
      </c>
      <c r="O269" s="16" t="s">
        <v>391</v>
      </c>
      <c r="P269" s="5" t="s">
        <v>135</v>
      </c>
      <c r="Q269" s="12" t="n">
        <v>0.8</v>
      </c>
      <c r="R269" s="6" t="s">
        <v>1126</v>
      </c>
      <c r="S269" s="7" t="s">
        <v>138</v>
      </c>
    </row>
    <row r="270" customFormat="false" ht="23.85" hidden="false" customHeight="false" outlineLevel="0" collapsed="false">
      <c r="A270" s="5" t="s">
        <v>10</v>
      </c>
      <c r="B270" s="5" t="s">
        <v>72</v>
      </c>
      <c r="C270" s="5" t="n">
        <v>10</v>
      </c>
      <c r="D270" s="6" t="s">
        <v>83</v>
      </c>
      <c r="E270" s="5" t="s">
        <v>1121</v>
      </c>
      <c r="F270" s="5" t="s">
        <v>1131</v>
      </c>
      <c r="G270" s="6" t="s">
        <v>1132</v>
      </c>
      <c r="H270" s="6" t="s">
        <v>1133</v>
      </c>
      <c r="I270" s="5" t="s">
        <v>1134</v>
      </c>
      <c r="J270" s="11" t="n">
        <v>46291</v>
      </c>
      <c r="K270" s="5" t="s">
        <v>12</v>
      </c>
      <c r="L270" s="15" t="s">
        <v>132</v>
      </c>
      <c r="M270" s="5" t="s">
        <v>133</v>
      </c>
      <c r="N270" s="5" t="s">
        <v>134</v>
      </c>
      <c r="O270" s="16" t="s">
        <v>391</v>
      </c>
      <c r="P270" s="5" t="s">
        <v>135</v>
      </c>
      <c r="Q270" s="12" t="n">
        <v>0.8</v>
      </c>
      <c r="R270" s="6" t="s">
        <v>1126</v>
      </c>
      <c r="S270" s="7" t="s">
        <v>138</v>
      </c>
    </row>
    <row r="271" customFormat="false" ht="23.85" hidden="false" customHeight="false" outlineLevel="0" collapsed="false">
      <c r="A271" s="5" t="s">
        <v>10</v>
      </c>
      <c r="B271" s="5" t="s">
        <v>72</v>
      </c>
      <c r="C271" s="5" t="n">
        <v>10</v>
      </c>
      <c r="D271" s="6" t="s">
        <v>83</v>
      </c>
      <c r="E271" s="5" t="s">
        <v>1121</v>
      </c>
      <c r="F271" s="5" t="s">
        <v>1135</v>
      </c>
      <c r="G271" s="6" t="s">
        <v>1136</v>
      </c>
      <c r="H271" s="6" t="s">
        <v>1137</v>
      </c>
      <c r="I271" s="5" t="s">
        <v>1138</v>
      </c>
      <c r="J271" s="11" t="n">
        <v>46291</v>
      </c>
      <c r="K271" s="5" t="s">
        <v>12</v>
      </c>
      <c r="L271" s="15" t="s">
        <v>132</v>
      </c>
      <c r="M271" s="5" t="s">
        <v>133</v>
      </c>
      <c r="N271" s="5" t="s">
        <v>134</v>
      </c>
      <c r="O271" s="16" t="s">
        <v>391</v>
      </c>
      <c r="P271" s="5" t="s">
        <v>135</v>
      </c>
      <c r="Q271" s="12" t="n">
        <v>0.8</v>
      </c>
      <c r="R271" s="6" t="s">
        <v>1126</v>
      </c>
      <c r="S271" s="7" t="s">
        <v>138</v>
      </c>
    </row>
    <row r="272" customFormat="false" ht="23.85" hidden="false" customHeight="false" outlineLevel="0" collapsed="false">
      <c r="A272" s="5" t="s">
        <v>10</v>
      </c>
      <c r="B272" s="5" t="s">
        <v>72</v>
      </c>
      <c r="C272" s="5" t="n">
        <v>10</v>
      </c>
      <c r="D272" s="6" t="s">
        <v>83</v>
      </c>
      <c r="E272" s="5" t="s">
        <v>1121</v>
      </c>
      <c r="F272" s="5" t="s">
        <v>1139</v>
      </c>
      <c r="G272" s="6" t="s">
        <v>1140</v>
      </c>
      <c r="H272" s="6" t="s">
        <v>1141</v>
      </c>
      <c r="I272" s="5" t="s">
        <v>1142</v>
      </c>
      <c r="J272" s="11" t="n">
        <v>46291</v>
      </c>
      <c r="K272" s="5" t="s">
        <v>12</v>
      </c>
      <c r="L272" s="15" t="s">
        <v>132</v>
      </c>
      <c r="M272" s="5" t="s">
        <v>133</v>
      </c>
      <c r="N272" s="5" t="s">
        <v>134</v>
      </c>
      <c r="O272" s="16" t="s">
        <v>391</v>
      </c>
      <c r="P272" s="5" t="s">
        <v>135</v>
      </c>
      <c r="Q272" s="12" t="n">
        <v>0.8</v>
      </c>
      <c r="R272" s="6" t="s">
        <v>1126</v>
      </c>
      <c r="S272" s="7" t="s">
        <v>138</v>
      </c>
    </row>
    <row r="273" customFormat="false" ht="23.85" hidden="false" customHeight="false" outlineLevel="0" collapsed="false">
      <c r="A273" s="5" t="s">
        <v>10</v>
      </c>
      <c r="B273" s="5" t="s">
        <v>72</v>
      </c>
      <c r="C273" s="5" t="n">
        <v>10</v>
      </c>
      <c r="D273" s="6" t="s">
        <v>83</v>
      </c>
      <c r="E273" s="5" t="s">
        <v>1121</v>
      </c>
      <c r="F273" s="5" t="s">
        <v>1143</v>
      </c>
      <c r="G273" s="6" t="s">
        <v>1144</v>
      </c>
      <c r="H273" s="6" t="s">
        <v>1145</v>
      </c>
      <c r="I273" s="5" t="s">
        <v>1146</v>
      </c>
      <c r="J273" s="11" t="n">
        <v>46302</v>
      </c>
      <c r="K273" s="5" t="s">
        <v>12</v>
      </c>
      <c r="L273" s="15" t="s">
        <v>132</v>
      </c>
      <c r="M273" s="5" t="s">
        <v>133</v>
      </c>
      <c r="N273" s="5" t="s">
        <v>134</v>
      </c>
      <c r="O273" s="16" t="s">
        <v>391</v>
      </c>
      <c r="P273" s="5" t="s">
        <v>135</v>
      </c>
      <c r="Q273" s="12" t="n">
        <v>0.9</v>
      </c>
      <c r="R273" s="6" t="s">
        <v>1147</v>
      </c>
      <c r="S273" s="7" t="s">
        <v>138</v>
      </c>
    </row>
    <row r="274" customFormat="false" ht="23.85" hidden="false" customHeight="false" outlineLevel="0" collapsed="false">
      <c r="A274" s="5" t="s">
        <v>10</v>
      </c>
      <c r="B274" s="5" t="s">
        <v>72</v>
      </c>
      <c r="C274" s="5" t="n">
        <v>10</v>
      </c>
      <c r="D274" s="6" t="s">
        <v>83</v>
      </c>
      <c r="E274" s="5" t="s">
        <v>1121</v>
      </c>
      <c r="F274" s="5" t="s">
        <v>1148</v>
      </c>
      <c r="G274" s="6" t="s">
        <v>1149</v>
      </c>
      <c r="H274" s="6" t="s">
        <v>1150</v>
      </c>
      <c r="I274" s="5" t="s">
        <v>1151</v>
      </c>
      <c r="J274" s="11" t="n">
        <v>46291</v>
      </c>
      <c r="K274" s="5" t="s">
        <v>12</v>
      </c>
      <c r="L274" s="15" t="s">
        <v>132</v>
      </c>
      <c r="M274" s="5" t="s">
        <v>133</v>
      </c>
      <c r="N274" s="5" t="s">
        <v>134</v>
      </c>
      <c r="O274" s="16" t="s">
        <v>391</v>
      </c>
      <c r="P274" s="5" t="s">
        <v>135</v>
      </c>
      <c r="Q274" s="12" t="n">
        <v>0.8</v>
      </c>
      <c r="R274" s="6" t="s">
        <v>1126</v>
      </c>
      <c r="S274" s="7" t="s">
        <v>138</v>
      </c>
    </row>
    <row r="275" customFormat="false" ht="23.85" hidden="false" customHeight="false" outlineLevel="0" collapsed="false">
      <c r="A275" s="5" t="s">
        <v>10</v>
      </c>
      <c r="B275" s="5" t="s">
        <v>72</v>
      </c>
      <c r="C275" s="5" t="n">
        <v>10</v>
      </c>
      <c r="D275" s="6" t="s">
        <v>83</v>
      </c>
      <c r="E275" s="5" t="s">
        <v>1121</v>
      </c>
      <c r="F275" s="5" t="s">
        <v>1152</v>
      </c>
      <c r="G275" s="6" t="s">
        <v>1153</v>
      </c>
      <c r="H275" s="6" t="s">
        <v>1154</v>
      </c>
      <c r="I275" s="5" t="s">
        <v>1155</v>
      </c>
      <c r="J275" s="11" t="n">
        <v>46291</v>
      </c>
      <c r="K275" s="5" t="s">
        <v>12</v>
      </c>
      <c r="L275" s="15" t="s">
        <v>132</v>
      </c>
      <c r="M275" s="5" t="s">
        <v>133</v>
      </c>
      <c r="N275" s="5" t="s">
        <v>134</v>
      </c>
      <c r="O275" s="16" t="s">
        <v>391</v>
      </c>
      <c r="P275" s="5" t="s">
        <v>135</v>
      </c>
      <c r="Q275" s="12" t="n">
        <v>0.8</v>
      </c>
      <c r="R275" s="6" t="s">
        <v>1126</v>
      </c>
      <c r="S275" s="7" t="s">
        <v>138</v>
      </c>
    </row>
    <row r="276" customFormat="false" ht="68.65" hidden="false" customHeight="false" outlineLevel="0" collapsed="false">
      <c r="A276" s="5" t="s">
        <v>10</v>
      </c>
      <c r="B276" s="5" t="s">
        <v>72</v>
      </c>
      <c r="C276" s="5" t="n">
        <v>10</v>
      </c>
      <c r="D276" s="6" t="s">
        <v>83</v>
      </c>
      <c r="E276" s="5" t="s">
        <v>1121</v>
      </c>
      <c r="F276" s="5" t="s">
        <v>1156</v>
      </c>
      <c r="G276" s="6" t="s">
        <v>1157</v>
      </c>
      <c r="H276" s="6" t="s">
        <v>1158</v>
      </c>
      <c r="I276" s="5" t="s">
        <v>1159</v>
      </c>
      <c r="J276" s="11" t="n">
        <v>46302</v>
      </c>
      <c r="K276" s="5" t="s">
        <v>12</v>
      </c>
      <c r="L276" s="15" t="s">
        <v>132</v>
      </c>
      <c r="M276" s="5" t="s">
        <v>133</v>
      </c>
      <c r="N276" s="5" t="s">
        <v>134</v>
      </c>
      <c r="O276" s="18" t="s">
        <v>136</v>
      </c>
      <c r="P276" s="5" t="s">
        <v>135</v>
      </c>
      <c r="Q276" s="12" t="n">
        <v>0.85</v>
      </c>
      <c r="R276" s="6" t="s">
        <v>1160</v>
      </c>
      <c r="S276" s="7" t="s">
        <v>138</v>
      </c>
    </row>
    <row r="277" customFormat="false" ht="35.05" hidden="false" customHeight="false" outlineLevel="0" collapsed="false">
      <c r="A277" s="5" t="s">
        <v>10</v>
      </c>
      <c r="B277" s="5" t="s">
        <v>72</v>
      </c>
      <c r="C277" s="5" t="n">
        <v>10</v>
      </c>
      <c r="D277" s="6" t="s">
        <v>83</v>
      </c>
      <c r="E277" s="5" t="s">
        <v>1121</v>
      </c>
      <c r="F277" s="5" t="s">
        <v>1161</v>
      </c>
      <c r="G277" s="6" t="s">
        <v>1162</v>
      </c>
      <c r="H277" s="6" t="s">
        <v>1163</v>
      </c>
      <c r="I277" s="5" t="s">
        <v>1164</v>
      </c>
      <c r="J277" s="11" t="n">
        <v>46302</v>
      </c>
      <c r="K277" s="5" t="s">
        <v>12</v>
      </c>
      <c r="L277" s="15" t="s">
        <v>132</v>
      </c>
      <c r="M277" s="5" t="s">
        <v>133</v>
      </c>
      <c r="N277" s="5" t="s">
        <v>134</v>
      </c>
      <c r="O277" s="17" t="s">
        <v>743</v>
      </c>
      <c r="P277" s="5" t="s">
        <v>743</v>
      </c>
      <c r="Q277" s="12" t="n">
        <v>0.7</v>
      </c>
      <c r="R277" s="6" t="s">
        <v>1165</v>
      </c>
      <c r="S277" s="7" t="s">
        <v>138</v>
      </c>
    </row>
    <row r="278" customFormat="false" ht="23.85" hidden="false" customHeight="false" outlineLevel="0" collapsed="false">
      <c r="A278" s="5" t="s">
        <v>10</v>
      </c>
      <c r="B278" s="5" t="s">
        <v>72</v>
      </c>
      <c r="C278" s="5" t="n">
        <v>10</v>
      </c>
      <c r="D278" s="6" t="s">
        <v>83</v>
      </c>
      <c r="E278" s="5" t="s">
        <v>1121</v>
      </c>
      <c r="F278" s="5" t="s">
        <v>1166</v>
      </c>
      <c r="G278" s="6" t="s">
        <v>1167</v>
      </c>
      <c r="H278" s="6" t="s">
        <v>1168</v>
      </c>
      <c r="I278" s="5" t="s">
        <v>1169</v>
      </c>
      <c r="J278" s="11" t="n">
        <v>46291</v>
      </c>
      <c r="K278" s="5" t="s">
        <v>12</v>
      </c>
      <c r="L278" s="15" t="s">
        <v>132</v>
      </c>
      <c r="M278" s="5" t="s">
        <v>133</v>
      </c>
      <c r="N278" s="5" t="s">
        <v>134</v>
      </c>
      <c r="O278" s="16" t="s">
        <v>391</v>
      </c>
      <c r="P278" s="5" t="s">
        <v>135</v>
      </c>
      <c r="Q278" s="12" t="n">
        <v>0.8</v>
      </c>
      <c r="R278" s="6" t="s">
        <v>1126</v>
      </c>
      <c r="S278" s="7" t="s">
        <v>138</v>
      </c>
    </row>
    <row r="279" customFormat="false" ht="57.45" hidden="false" customHeight="false" outlineLevel="0" collapsed="false">
      <c r="A279" s="5" t="s">
        <v>10</v>
      </c>
      <c r="B279" s="5" t="s">
        <v>72</v>
      </c>
      <c r="C279" s="5" t="n">
        <v>11</v>
      </c>
      <c r="D279" s="6" t="s">
        <v>84</v>
      </c>
      <c r="E279" s="5" t="s">
        <v>1170</v>
      </c>
      <c r="F279" s="5" t="s">
        <v>1171</v>
      </c>
      <c r="G279" s="6" t="s">
        <v>1172</v>
      </c>
      <c r="H279" s="6" t="s">
        <v>1173</v>
      </c>
      <c r="I279" s="5" t="s">
        <v>1146</v>
      </c>
      <c r="J279" s="11" t="n">
        <v>46302</v>
      </c>
      <c r="K279" s="5" t="s">
        <v>12</v>
      </c>
      <c r="L279" s="15" t="s">
        <v>132</v>
      </c>
      <c r="M279" s="5" t="s">
        <v>133</v>
      </c>
      <c r="N279" s="5" t="s">
        <v>134</v>
      </c>
      <c r="O279" s="16" t="s">
        <v>391</v>
      </c>
      <c r="P279" s="5" t="s">
        <v>135</v>
      </c>
      <c r="Q279" s="12" t="n">
        <v>0.9</v>
      </c>
      <c r="R279" s="6" t="s">
        <v>1174</v>
      </c>
      <c r="S279" s="7" t="s">
        <v>138</v>
      </c>
    </row>
    <row r="280" customFormat="false" ht="35.05" hidden="false" customHeight="false" outlineLevel="0" collapsed="false">
      <c r="A280" s="5" t="s">
        <v>10</v>
      </c>
      <c r="B280" s="5" t="s">
        <v>72</v>
      </c>
      <c r="C280" s="5" t="n">
        <v>11</v>
      </c>
      <c r="D280" s="6" t="s">
        <v>84</v>
      </c>
      <c r="E280" s="5" t="s">
        <v>1170</v>
      </c>
      <c r="F280" s="5" t="s">
        <v>1175</v>
      </c>
      <c r="G280" s="6" t="s">
        <v>1176</v>
      </c>
      <c r="H280" s="6" t="s">
        <v>1177</v>
      </c>
      <c r="I280" s="5" t="s">
        <v>1146</v>
      </c>
      <c r="J280" s="11" t="n">
        <v>46302</v>
      </c>
      <c r="K280" s="5" t="s">
        <v>12</v>
      </c>
      <c r="L280" s="15" t="s">
        <v>132</v>
      </c>
      <c r="M280" s="5" t="s">
        <v>133</v>
      </c>
      <c r="N280" s="5" t="s">
        <v>134</v>
      </c>
      <c r="O280" s="16" t="s">
        <v>391</v>
      </c>
      <c r="P280" s="5" t="s">
        <v>135</v>
      </c>
      <c r="Q280" s="12" t="n">
        <v>0.9</v>
      </c>
      <c r="R280" s="6" t="s">
        <v>157</v>
      </c>
      <c r="S280" s="7" t="s">
        <v>138</v>
      </c>
    </row>
    <row r="281" customFormat="false" ht="57.45" hidden="false" customHeight="false" outlineLevel="0" collapsed="false">
      <c r="A281" s="5" t="s">
        <v>10</v>
      </c>
      <c r="B281" s="5" t="s">
        <v>72</v>
      </c>
      <c r="C281" s="5" t="n">
        <v>11</v>
      </c>
      <c r="D281" s="6" t="s">
        <v>84</v>
      </c>
      <c r="E281" s="5" t="s">
        <v>1170</v>
      </c>
      <c r="F281" s="5" t="s">
        <v>1178</v>
      </c>
      <c r="G281" s="6" t="s">
        <v>1179</v>
      </c>
      <c r="H281" s="6" t="s">
        <v>1180</v>
      </c>
      <c r="I281" s="5" t="s">
        <v>1146</v>
      </c>
      <c r="J281" s="11" t="n">
        <v>46302</v>
      </c>
      <c r="K281" s="5" t="s">
        <v>12</v>
      </c>
      <c r="L281" s="15" t="s">
        <v>132</v>
      </c>
      <c r="M281" s="5" t="s">
        <v>133</v>
      </c>
      <c r="N281" s="5" t="s">
        <v>134</v>
      </c>
      <c r="O281" s="16" t="s">
        <v>391</v>
      </c>
      <c r="P281" s="5" t="s">
        <v>135</v>
      </c>
      <c r="Q281" s="12" t="n">
        <v>0.85</v>
      </c>
      <c r="R281" s="6" t="s">
        <v>1181</v>
      </c>
      <c r="S281" s="7" t="s">
        <v>138</v>
      </c>
    </row>
    <row r="282" customFormat="false" ht="35.05" hidden="false" customHeight="false" outlineLevel="0" collapsed="false">
      <c r="A282" s="5" t="s">
        <v>10</v>
      </c>
      <c r="B282" s="5" t="s">
        <v>72</v>
      </c>
      <c r="C282" s="5" t="n">
        <v>11</v>
      </c>
      <c r="D282" s="6" t="s">
        <v>84</v>
      </c>
      <c r="E282" s="5" t="s">
        <v>1170</v>
      </c>
      <c r="F282" s="5" t="s">
        <v>1182</v>
      </c>
      <c r="G282" s="6" t="s">
        <v>1183</v>
      </c>
      <c r="H282" s="6" t="s">
        <v>1184</v>
      </c>
      <c r="I282" s="5" t="s">
        <v>1146</v>
      </c>
      <c r="J282" s="11" t="n">
        <v>46302</v>
      </c>
      <c r="K282" s="5" t="s">
        <v>12</v>
      </c>
      <c r="L282" s="15" t="s">
        <v>132</v>
      </c>
      <c r="M282" s="5" t="s">
        <v>133</v>
      </c>
      <c r="N282" s="5" t="s">
        <v>134</v>
      </c>
      <c r="O282" s="16" t="s">
        <v>391</v>
      </c>
      <c r="P282" s="5" t="s">
        <v>135</v>
      </c>
      <c r="Q282" s="12" t="n">
        <v>0.9</v>
      </c>
      <c r="R282" s="6" t="s">
        <v>157</v>
      </c>
      <c r="S282" s="7" t="s">
        <v>138</v>
      </c>
    </row>
    <row r="283" customFormat="false" ht="35.05" hidden="false" customHeight="false" outlineLevel="0" collapsed="false">
      <c r="A283" s="5" t="s">
        <v>10</v>
      </c>
      <c r="B283" s="5" t="s">
        <v>72</v>
      </c>
      <c r="C283" s="5" t="n">
        <v>11</v>
      </c>
      <c r="D283" s="6" t="s">
        <v>84</v>
      </c>
      <c r="E283" s="5" t="s">
        <v>1170</v>
      </c>
      <c r="F283" s="5" t="s">
        <v>1185</v>
      </c>
      <c r="G283" s="6" t="s">
        <v>1186</v>
      </c>
      <c r="H283" s="6" t="s">
        <v>1187</v>
      </c>
      <c r="I283" s="5" t="s">
        <v>1146</v>
      </c>
      <c r="J283" s="11" t="n">
        <v>46302</v>
      </c>
      <c r="K283" s="5" t="s">
        <v>12</v>
      </c>
      <c r="L283" s="15" t="s">
        <v>132</v>
      </c>
      <c r="M283" s="5" t="s">
        <v>133</v>
      </c>
      <c r="N283" s="5" t="s">
        <v>134</v>
      </c>
      <c r="O283" s="16" t="s">
        <v>391</v>
      </c>
      <c r="P283" s="5" t="s">
        <v>135</v>
      </c>
      <c r="Q283" s="12" t="n">
        <v>0.85</v>
      </c>
      <c r="R283" s="6" t="s">
        <v>1188</v>
      </c>
      <c r="S283" s="7" t="s">
        <v>138</v>
      </c>
    </row>
    <row r="284" customFormat="false" ht="79.85" hidden="false" customHeight="false" outlineLevel="0" collapsed="false">
      <c r="A284" s="5" t="s">
        <v>10</v>
      </c>
      <c r="B284" s="5" t="s">
        <v>72</v>
      </c>
      <c r="C284" s="5" t="n">
        <v>11</v>
      </c>
      <c r="D284" s="6" t="s">
        <v>84</v>
      </c>
      <c r="E284" s="5" t="s">
        <v>1170</v>
      </c>
      <c r="F284" s="5" t="s">
        <v>1189</v>
      </c>
      <c r="G284" s="6" t="s">
        <v>1190</v>
      </c>
      <c r="H284" s="6" t="s">
        <v>1191</v>
      </c>
      <c r="I284" s="5" t="s">
        <v>1146</v>
      </c>
      <c r="J284" s="11" t="n">
        <v>46302</v>
      </c>
      <c r="K284" s="5" t="s">
        <v>12</v>
      </c>
      <c r="L284" s="15" t="s">
        <v>132</v>
      </c>
      <c r="M284" s="5" t="s">
        <v>133</v>
      </c>
      <c r="N284" s="5" t="s">
        <v>134</v>
      </c>
      <c r="O284" s="16" t="s">
        <v>391</v>
      </c>
      <c r="P284" s="5" t="s">
        <v>135</v>
      </c>
      <c r="Q284" s="12" t="n">
        <v>0.9</v>
      </c>
      <c r="R284" s="6" t="s">
        <v>1192</v>
      </c>
      <c r="S284" s="7" t="s">
        <v>138</v>
      </c>
    </row>
    <row r="285" customFormat="false" ht="35.05" hidden="false" customHeight="false" outlineLevel="0" collapsed="false">
      <c r="A285" s="5" t="s">
        <v>10</v>
      </c>
      <c r="B285" s="5" t="s">
        <v>72</v>
      </c>
      <c r="C285" s="5" t="n">
        <v>11</v>
      </c>
      <c r="D285" s="6" t="s">
        <v>84</v>
      </c>
      <c r="E285" s="5" t="s">
        <v>1170</v>
      </c>
      <c r="F285" s="5" t="s">
        <v>1193</v>
      </c>
      <c r="G285" s="6" t="s">
        <v>1194</v>
      </c>
      <c r="H285" s="6" t="s">
        <v>1195</v>
      </c>
      <c r="I285" s="5" t="s">
        <v>1146</v>
      </c>
      <c r="J285" s="11" t="n">
        <v>46302</v>
      </c>
      <c r="K285" s="5" t="s">
        <v>12</v>
      </c>
      <c r="L285" s="15" t="s">
        <v>132</v>
      </c>
      <c r="M285" s="5" t="s">
        <v>133</v>
      </c>
      <c r="N285" s="5" t="s">
        <v>134</v>
      </c>
      <c r="O285" s="16" t="s">
        <v>391</v>
      </c>
      <c r="P285" s="5" t="s">
        <v>135</v>
      </c>
      <c r="Q285" s="12" t="n">
        <v>0.9</v>
      </c>
      <c r="R285" s="6" t="s">
        <v>157</v>
      </c>
      <c r="S285" s="7" t="s">
        <v>138</v>
      </c>
    </row>
    <row r="286" customFormat="false" ht="35.05" hidden="false" customHeight="false" outlineLevel="0" collapsed="false">
      <c r="A286" s="5" t="s">
        <v>10</v>
      </c>
      <c r="B286" s="5" t="s">
        <v>72</v>
      </c>
      <c r="C286" s="5" t="n">
        <v>11</v>
      </c>
      <c r="D286" s="6" t="s">
        <v>84</v>
      </c>
      <c r="E286" s="5" t="s">
        <v>1170</v>
      </c>
      <c r="F286" s="5" t="s">
        <v>1196</v>
      </c>
      <c r="G286" s="6" t="s">
        <v>1197</v>
      </c>
      <c r="H286" s="6" t="s">
        <v>1198</v>
      </c>
      <c r="I286" s="5" t="s">
        <v>1146</v>
      </c>
      <c r="J286" s="11" t="n">
        <v>46302</v>
      </c>
      <c r="K286" s="5" t="s">
        <v>12</v>
      </c>
      <c r="L286" s="15" t="s">
        <v>132</v>
      </c>
      <c r="M286" s="5" t="s">
        <v>133</v>
      </c>
      <c r="N286" s="5" t="s">
        <v>134</v>
      </c>
      <c r="O286" s="16" t="s">
        <v>391</v>
      </c>
      <c r="P286" s="5" t="s">
        <v>135</v>
      </c>
      <c r="Q286" s="12" t="n">
        <v>0.9</v>
      </c>
      <c r="R286" s="6" t="s">
        <v>157</v>
      </c>
      <c r="S286" s="7" t="s">
        <v>138</v>
      </c>
    </row>
    <row r="287" customFormat="false" ht="46.25" hidden="false" customHeight="false" outlineLevel="0" collapsed="false">
      <c r="A287" s="5" t="s">
        <v>10</v>
      </c>
      <c r="B287" s="5" t="s">
        <v>72</v>
      </c>
      <c r="C287" s="5" t="n">
        <v>11</v>
      </c>
      <c r="D287" s="6" t="s">
        <v>84</v>
      </c>
      <c r="E287" s="5" t="s">
        <v>1170</v>
      </c>
      <c r="F287" s="5" t="s">
        <v>1199</v>
      </c>
      <c r="G287" s="6" t="s">
        <v>1200</v>
      </c>
      <c r="H287" s="6" t="s">
        <v>1201</v>
      </c>
      <c r="I287" s="5" t="s">
        <v>1146</v>
      </c>
      <c r="J287" s="11" t="n">
        <v>46302</v>
      </c>
      <c r="K287" s="5" t="s">
        <v>12</v>
      </c>
      <c r="L287" s="15" t="s">
        <v>132</v>
      </c>
      <c r="M287" s="5" t="s">
        <v>133</v>
      </c>
      <c r="N287" s="5" t="s">
        <v>134</v>
      </c>
      <c r="O287" s="16" t="s">
        <v>391</v>
      </c>
      <c r="P287" s="5" t="s">
        <v>135</v>
      </c>
      <c r="Q287" s="12" t="n">
        <v>0.9</v>
      </c>
      <c r="R287" s="6" t="s">
        <v>157</v>
      </c>
      <c r="S287" s="7" t="s">
        <v>138</v>
      </c>
    </row>
    <row r="288" customFormat="false" ht="35.05" hidden="false" customHeight="false" outlineLevel="0" collapsed="false">
      <c r="A288" s="5" t="s">
        <v>10</v>
      </c>
      <c r="B288" s="5" t="s">
        <v>72</v>
      </c>
      <c r="C288" s="5" t="n">
        <v>11</v>
      </c>
      <c r="D288" s="6" t="s">
        <v>84</v>
      </c>
      <c r="E288" s="5" t="s">
        <v>1170</v>
      </c>
      <c r="F288" s="5" t="s">
        <v>1202</v>
      </c>
      <c r="G288" s="6" t="s">
        <v>1203</v>
      </c>
      <c r="H288" s="6" t="s">
        <v>1204</v>
      </c>
      <c r="I288" s="5" t="s">
        <v>1146</v>
      </c>
      <c r="J288" s="11" t="n">
        <v>46302</v>
      </c>
      <c r="K288" s="5" t="s">
        <v>12</v>
      </c>
      <c r="L288" s="15" t="s">
        <v>132</v>
      </c>
      <c r="M288" s="5" t="s">
        <v>133</v>
      </c>
      <c r="N288" s="5" t="s">
        <v>134</v>
      </c>
      <c r="O288" s="16" t="s">
        <v>391</v>
      </c>
      <c r="P288" s="5" t="s">
        <v>135</v>
      </c>
      <c r="Q288" s="12" t="n">
        <v>0.9</v>
      </c>
      <c r="R288" s="6" t="s">
        <v>157</v>
      </c>
      <c r="S288" s="7" t="s">
        <v>138</v>
      </c>
    </row>
    <row r="289" customFormat="false" ht="46.25" hidden="false" customHeight="false" outlineLevel="0" collapsed="false">
      <c r="A289" s="5" t="s">
        <v>10</v>
      </c>
      <c r="B289" s="5" t="s">
        <v>72</v>
      </c>
      <c r="C289" s="5" t="n">
        <v>11</v>
      </c>
      <c r="D289" s="6" t="s">
        <v>84</v>
      </c>
      <c r="E289" s="5" t="s">
        <v>1170</v>
      </c>
      <c r="F289" s="5" t="s">
        <v>1205</v>
      </c>
      <c r="G289" s="6" t="s">
        <v>1206</v>
      </c>
      <c r="H289" s="6" t="s">
        <v>1207</v>
      </c>
      <c r="I289" s="5" t="s">
        <v>1146</v>
      </c>
      <c r="J289" s="11" t="n">
        <v>46302</v>
      </c>
      <c r="K289" s="5" t="s">
        <v>12</v>
      </c>
      <c r="L289" s="15" t="s">
        <v>132</v>
      </c>
      <c r="M289" s="5" t="s">
        <v>133</v>
      </c>
      <c r="N289" s="5" t="s">
        <v>134</v>
      </c>
      <c r="O289" s="16" t="s">
        <v>391</v>
      </c>
      <c r="P289" s="5" t="s">
        <v>135</v>
      </c>
      <c r="Q289" s="12" t="n">
        <v>0.9</v>
      </c>
      <c r="R289" s="6" t="s">
        <v>1208</v>
      </c>
      <c r="S289" s="7" t="s">
        <v>138</v>
      </c>
    </row>
    <row r="290" customFormat="false" ht="46.25" hidden="false" customHeight="false" outlineLevel="0" collapsed="false">
      <c r="A290" s="5" t="s">
        <v>10</v>
      </c>
      <c r="B290" s="5" t="s">
        <v>72</v>
      </c>
      <c r="C290" s="5" t="n">
        <v>11</v>
      </c>
      <c r="D290" s="6" t="s">
        <v>84</v>
      </c>
      <c r="E290" s="5" t="s">
        <v>1170</v>
      </c>
      <c r="F290" s="5" t="s">
        <v>1209</v>
      </c>
      <c r="G290" s="6" t="s">
        <v>1210</v>
      </c>
      <c r="H290" s="6" t="s">
        <v>1211</v>
      </c>
      <c r="I290" s="5" t="s">
        <v>1146</v>
      </c>
      <c r="J290" s="11" t="n">
        <v>46302</v>
      </c>
      <c r="K290" s="5" t="s">
        <v>12</v>
      </c>
      <c r="L290" s="15" t="s">
        <v>132</v>
      </c>
      <c r="M290" s="5" t="s">
        <v>133</v>
      </c>
      <c r="N290" s="5" t="s">
        <v>134</v>
      </c>
      <c r="O290" s="16" t="s">
        <v>391</v>
      </c>
      <c r="P290" s="5" t="s">
        <v>135</v>
      </c>
      <c r="Q290" s="12" t="n">
        <v>0.9</v>
      </c>
      <c r="R290" s="6" t="s">
        <v>157</v>
      </c>
      <c r="S290" s="7" t="s">
        <v>138</v>
      </c>
    </row>
    <row r="291" customFormat="false" ht="46.25" hidden="false" customHeight="false" outlineLevel="0" collapsed="false">
      <c r="A291" s="5" t="s">
        <v>10</v>
      </c>
      <c r="B291" s="5" t="s">
        <v>72</v>
      </c>
      <c r="C291" s="5" t="n">
        <v>11</v>
      </c>
      <c r="D291" s="6" t="s">
        <v>84</v>
      </c>
      <c r="E291" s="5" t="s">
        <v>1170</v>
      </c>
      <c r="F291" s="5" t="s">
        <v>1212</v>
      </c>
      <c r="G291" s="6" t="s">
        <v>1213</v>
      </c>
      <c r="H291" s="6" t="s">
        <v>1214</v>
      </c>
      <c r="I291" s="5" t="s">
        <v>1146</v>
      </c>
      <c r="J291" s="11" t="n">
        <v>46302</v>
      </c>
      <c r="K291" s="5" t="s">
        <v>12</v>
      </c>
      <c r="L291" s="15" t="s">
        <v>132</v>
      </c>
      <c r="M291" s="5" t="s">
        <v>133</v>
      </c>
      <c r="N291" s="5" t="s">
        <v>134</v>
      </c>
      <c r="O291" s="16" t="s">
        <v>391</v>
      </c>
      <c r="P291" s="5" t="s">
        <v>135</v>
      </c>
      <c r="Q291" s="12" t="n">
        <v>0.9</v>
      </c>
      <c r="R291" s="6" t="s">
        <v>1215</v>
      </c>
      <c r="S291" s="7" t="s">
        <v>138</v>
      </c>
    </row>
    <row r="292" customFormat="false" ht="35.05" hidden="false" customHeight="false" outlineLevel="0" collapsed="false">
      <c r="A292" s="5" t="s">
        <v>10</v>
      </c>
      <c r="B292" s="5" t="s">
        <v>72</v>
      </c>
      <c r="C292" s="5" t="n">
        <v>11</v>
      </c>
      <c r="D292" s="6" t="s">
        <v>84</v>
      </c>
      <c r="E292" s="5" t="s">
        <v>1170</v>
      </c>
      <c r="F292" s="5" t="s">
        <v>1216</v>
      </c>
      <c r="G292" s="6" t="s">
        <v>1217</v>
      </c>
      <c r="H292" s="6" t="s">
        <v>1218</v>
      </c>
      <c r="I292" s="5" t="s">
        <v>1146</v>
      </c>
      <c r="J292" s="11" t="n">
        <v>46302</v>
      </c>
      <c r="K292" s="5" t="s">
        <v>12</v>
      </c>
      <c r="L292" s="15" t="s">
        <v>132</v>
      </c>
      <c r="M292" s="5" t="s">
        <v>133</v>
      </c>
      <c r="N292" s="5" t="s">
        <v>134</v>
      </c>
      <c r="O292" s="16" t="s">
        <v>391</v>
      </c>
      <c r="P292" s="5" t="s">
        <v>135</v>
      </c>
      <c r="Q292" s="12" t="n">
        <v>0.9</v>
      </c>
      <c r="R292" s="6" t="s">
        <v>157</v>
      </c>
      <c r="S292" s="7" t="s">
        <v>138</v>
      </c>
    </row>
    <row r="293" customFormat="false" ht="68.65" hidden="false" customHeight="false" outlineLevel="0" collapsed="false">
      <c r="A293" s="5" t="s">
        <v>10</v>
      </c>
      <c r="B293" s="5" t="s">
        <v>72</v>
      </c>
      <c r="C293" s="5" t="n">
        <v>11</v>
      </c>
      <c r="D293" s="6" t="s">
        <v>84</v>
      </c>
      <c r="E293" s="5" t="s">
        <v>319</v>
      </c>
      <c r="F293" s="5" t="s">
        <v>1219</v>
      </c>
      <c r="G293" s="6" t="s">
        <v>1220</v>
      </c>
      <c r="H293" s="6" t="s">
        <v>1221</v>
      </c>
      <c r="I293" s="5" t="s">
        <v>294</v>
      </c>
      <c r="J293" s="11" t="n">
        <v>46302</v>
      </c>
      <c r="K293" s="5" t="s">
        <v>12</v>
      </c>
      <c r="L293" s="15" t="s">
        <v>132</v>
      </c>
      <c r="M293" s="5" t="s">
        <v>133</v>
      </c>
      <c r="N293" s="5" t="s">
        <v>134</v>
      </c>
      <c r="O293" s="16" t="s">
        <v>391</v>
      </c>
      <c r="P293" s="5" t="s">
        <v>135</v>
      </c>
      <c r="Q293" s="12" t="n">
        <v>0.9</v>
      </c>
      <c r="R293" s="6" t="s">
        <v>1222</v>
      </c>
      <c r="S293" s="7" t="s">
        <v>138</v>
      </c>
    </row>
    <row r="294" customFormat="false" ht="68.65" hidden="false" customHeight="false" outlineLevel="0" collapsed="false">
      <c r="A294" s="5" t="s">
        <v>10</v>
      </c>
      <c r="B294" s="5" t="s">
        <v>72</v>
      </c>
      <c r="C294" s="5" t="n">
        <v>11</v>
      </c>
      <c r="D294" s="6" t="s">
        <v>84</v>
      </c>
      <c r="E294" s="5" t="s">
        <v>127</v>
      </c>
      <c r="F294" s="5" t="s">
        <v>1223</v>
      </c>
      <c r="G294" s="6" t="s">
        <v>1224</v>
      </c>
      <c r="H294" s="6" t="s">
        <v>1225</v>
      </c>
      <c r="I294" s="5" t="s">
        <v>131</v>
      </c>
      <c r="J294" s="11" t="n">
        <v>46302</v>
      </c>
      <c r="K294" s="5" t="s">
        <v>12</v>
      </c>
      <c r="L294" s="15" t="s">
        <v>132</v>
      </c>
      <c r="M294" s="5" t="s">
        <v>133</v>
      </c>
      <c r="N294" s="5" t="s">
        <v>134</v>
      </c>
      <c r="O294" s="16" t="s">
        <v>391</v>
      </c>
      <c r="P294" s="5" t="s">
        <v>135</v>
      </c>
      <c r="Q294" s="12" t="n">
        <v>0.9</v>
      </c>
      <c r="R294" s="6" t="s">
        <v>1226</v>
      </c>
      <c r="S294" s="7" t="s">
        <v>138</v>
      </c>
    </row>
    <row r="295" customFormat="false" ht="35.05" hidden="false" customHeight="false" outlineLevel="0" collapsed="false">
      <c r="A295" s="5" t="s">
        <v>10</v>
      </c>
      <c r="B295" s="5" t="s">
        <v>72</v>
      </c>
      <c r="C295" s="5" t="n">
        <v>11</v>
      </c>
      <c r="D295" s="6" t="s">
        <v>84</v>
      </c>
      <c r="E295" s="5" t="s">
        <v>260</v>
      </c>
      <c r="F295" s="5" t="s">
        <v>1227</v>
      </c>
      <c r="G295" s="6" t="s">
        <v>1228</v>
      </c>
      <c r="H295" s="6" t="s">
        <v>1229</v>
      </c>
      <c r="I295" s="5" t="s">
        <v>183</v>
      </c>
      <c r="J295" s="11" t="n">
        <v>46302</v>
      </c>
      <c r="K295" s="5" t="s">
        <v>12</v>
      </c>
      <c r="L295" s="15" t="s">
        <v>132</v>
      </c>
      <c r="M295" s="5" t="s">
        <v>133</v>
      </c>
      <c r="N295" s="5" t="s">
        <v>134</v>
      </c>
      <c r="O295" s="16" t="s">
        <v>391</v>
      </c>
      <c r="P295" s="5" t="s">
        <v>135</v>
      </c>
      <c r="Q295" s="12" t="n">
        <v>0.9</v>
      </c>
      <c r="R295" s="6" t="s">
        <v>1208</v>
      </c>
      <c r="S295" s="7" t="s">
        <v>138</v>
      </c>
    </row>
    <row r="296" customFormat="false" ht="57.45" hidden="false" customHeight="false" outlineLevel="0" collapsed="false">
      <c r="A296" s="5" t="s">
        <v>10</v>
      </c>
      <c r="B296" s="5" t="s">
        <v>72</v>
      </c>
      <c r="C296" s="5" t="n">
        <v>11</v>
      </c>
      <c r="D296" s="6" t="s">
        <v>84</v>
      </c>
      <c r="E296" s="5" t="s">
        <v>217</v>
      </c>
      <c r="F296" s="5" t="s">
        <v>1230</v>
      </c>
      <c r="G296" s="6" t="s">
        <v>1231</v>
      </c>
      <c r="H296" s="6" t="s">
        <v>1232</v>
      </c>
      <c r="I296" s="5" t="s">
        <v>221</v>
      </c>
      <c r="J296" s="11" t="n">
        <v>46302</v>
      </c>
      <c r="K296" s="5" t="s">
        <v>12</v>
      </c>
      <c r="L296" s="15" t="s">
        <v>132</v>
      </c>
      <c r="M296" s="5" t="s">
        <v>133</v>
      </c>
      <c r="N296" s="5" t="s">
        <v>134</v>
      </c>
      <c r="O296" s="16" t="s">
        <v>391</v>
      </c>
      <c r="P296" s="5" t="s">
        <v>135</v>
      </c>
      <c r="Q296" s="12" t="n">
        <v>0.85</v>
      </c>
      <c r="R296" s="6" t="s">
        <v>1233</v>
      </c>
      <c r="S296" s="7" t="s">
        <v>138</v>
      </c>
    </row>
    <row r="297" customFormat="false" ht="23.85" hidden="false" customHeight="false" outlineLevel="0" collapsed="false">
      <c r="A297" s="5" t="s">
        <v>10</v>
      </c>
      <c r="B297" s="5" t="s">
        <v>72</v>
      </c>
      <c r="C297" s="5" t="n">
        <v>11</v>
      </c>
      <c r="D297" s="6" t="s">
        <v>84</v>
      </c>
      <c r="E297" s="5" t="s">
        <v>164</v>
      </c>
      <c r="F297" s="5" t="s">
        <v>1234</v>
      </c>
      <c r="G297" s="6" t="s">
        <v>1235</v>
      </c>
      <c r="H297" s="6" t="s">
        <v>1236</v>
      </c>
      <c r="I297" s="5" t="s">
        <v>168</v>
      </c>
      <c r="J297" s="11" t="n">
        <v>46302</v>
      </c>
      <c r="K297" s="5" t="s">
        <v>12</v>
      </c>
      <c r="L297" s="15" t="s">
        <v>132</v>
      </c>
      <c r="M297" s="5" t="s">
        <v>133</v>
      </c>
      <c r="N297" s="5" t="s">
        <v>134</v>
      </c>
      <c r="O297" s="16" t="s">
        <v>391</v>
      </c>
      <c r="P297" s="5" t="s">
        <v>135</v>
      </c>
      <c r="Q297" s="12" t="n">
        <v>0.85</v>
      </c>
      <c r="R297" s="6" t="s">
        <v>1237</v>
      </c>
      <c r="S297" s="7" t="s">
        <v>138</v>
      </c>
    </row>
    <row r="298" customFormat="false" ht="35.05" hidden="false" customHeight="false" outlineLevel="0" collapsed="false">
      <c r="A298" s="5" t="s">
        <v>10</v>
      </c>
      <c r="B298" s="5" t="s">
        <v>72</v>
      </c>
      <c r="C298" s="5" t="n">
        <v>11</v>
      </c>
      <c r="D298" s="6" t="s">
        <v>84</v>
      </c>
      <c r="E298" s="5" t="s">
        <v>179</v>
      </c>
      <c r="F298" s="5" t="s">
        <v>1238</v>
      </c>
      <c r="G298" s="6" t="s">
        <v>1239</v>
      </c>
      <c r="H298" s="6" t="s">
        <v>1240</v>
      </c>
      <c r="I298" s="5" t="s">
        <v>183</v>
      </c>
      <c r="J298" s="11" t="n">
        <v>46302</v>
      </c>
      <c r="K298" s="5" t="s">
        <v>12</v>
      </c>
      <c r="L298" s="15" t="s">
        <v>132</v>
      </c>
      <c r="M298" s="5" t="s">
        <v>133</v>
      </c>
      <c r="N298" s="5" t="s">
        <v>134</v>
      </c>
      <c r="O298" s="16" t="s">
        <v>391</v>
      </c>
      <c r="P298" s="5" t="s">
        <v>135</v>
      </c>
      <c r="Q298" s="12" t="n">
        <v>0.85</v>
      </c>
      <c r="R298" s="6" t="s">
        <v>157</v>
      </c>
      <c r="S298" s="7" t="s">
        <v>138</v>
      </c>
    </row>
    <row r="299" customFormat="false" ht="23.85" hidden="false" customHeight="false" outlineLevel="0" collapsed="false">
      <c r="A299" s="5" t="s">
        <v>10</v>
      </c>
      <c r="B299" s="5" t="s">
        <v>72</v>
      </c>
      <c r="C299" s="5" t="n">
        <v>11</v>
      </c>
      <c r="D299" s="6" t="s">
        <v>84</v>
      </c>
      <c r="E299" s="5" t="s">
        <v>179</v>
      </c>
      <c r="F299" s="5" t="s">
        <v>1241</v>
      </c>
      <c r="G299" s="6" t="s">
        <v>1242</v>
      </c>
      <c r="H299" s="6" t="s">
        <v>1243</v>
      </c>
      <c r="I299" s="5" t="s">
        <v>183</v>
      </c>
      <c r="J299" s="11" t="n">
        <v>46302</v>
      </c>
      <c r="K299" s="5" t="s">
        <v>12</v>
      </c>
      <c r="L299" s="15" t="s">
        <v>132</v>
      </c>
      <c r="M299" s="5" t="s">
        <v>133</v>
      </c>
      <c r="N299" s="5" t="s">
        <v>134</v>
      </c>
      <c r="O299" s="16" t="s">
        <v>391</v>
      </c>
      <c r="P299" s="5" t="s">
        <v>135</v>
      </c>
      <c r="Q299" s="12" t="n">
        <v>0.85</v>
      </c>
      <c r="R299" s="6" t="s">
        <v>157</v>
      </c>
      <c r="S299" s="7" t="s">
        <v>138</v>
      </c>
    </row>
    <row r="300" customFormat="false" ht="35.05" hidden="false" customHeight="false" outlineLevel="0" collapsed="false">
      <c r="A300" s="5" t="s">
        <v>10</v>
      </c>
      <c r="B300" s="5" t="s">
        <v>72</v>
      </c>
      <c r="C300" s="5" t="n">
        <v>11</v>
      </c>
      <c r="D300" s="6" t="s">
        <v>84</v>
      </c>
      <c r="E300" s="5" t="s">
        <v>164</v>
      </c>
      <c r="F300" s="5" t="s">
        <v>1244</v>
      </c>
      <c r="G300" s="6" t="s">
        <v>1245</v>
      </c>
      <c r="H300" s="6" t="s">
        <v>1246</v>
      </c>
      <c r="I300" s="5" t="s">
        <v>168</v>
      </c>
      <c r="J300" s="11" t="n">
        <v>46302</v>
      </c>
      <c r="K300" s="5" t="s">
        <v>12</v>
      </c>
      <c r="L300" s="15" t="s">
        <v>132</v>
      </c>
      <c r="M300" s="5" t="s">
        <v>133</v>
      </c>
      <c r="N300" s="5" t="s">
        <v>134</v>
      </c>
      <c r="O300" s="16" t="s">
        <v>391</v>
      </c>
      <c r="P300" s="5" t="s">
        <v>135</v>
      </c>
      <c r="Q300" s="12" t="n">
        <v>0.8</v>
      </c>
      <c r="R300" s="6" t="s">
        <v>1247</v>
      </c>
      <c r="S300" s="7" t="s">
        <v>138</v>
      </c>
    </row>
    <row r="301" customFormat="false" ht="23.85" hidden="false" customHeight="false" outlineLevel="0" collapsed="false">
      <c r="A301" s="5" t="s">
        <v>10</v>
      </c>
      <c r="B301" s="5" t="s">
        <v>72</v>
      </c>
      <c r="C301" s="5" t="n">
        <v>11</v>
      </c>
      <c r="D301" s="6" t="s">
        <v>84</v>
      </c>
      <c r="E301" s="5" t="s">
        <v>703</v>
      </c>
      <c r="F301" s="5" t="s">
        <v>1248</v>
      </c>
      <c r="G301" s="6" t="s">
        <v>1249</v>
      </c>
      <c r="H301" s="6" t="s">
        <v>1250</v>
      </c>
      <c r="I301" s="5" t="s">
        <v>168</v>
      </c>
      <c r="J301" s="11" t="n">
        <v>46302</v>
      </c>
      <c r="K301" s="5" t="s">
        <v>12</v>
      </c>
      <c r="L301" s="15" t="s">
        <v>132</v>
      </c>
      <c r="M301" s="5" t="s">
        <v>133</v>
      </c>
      <c r="N301" s="5" t="s">
        <v>134</v>
      </c>
      <c r="O301" s="16" t="s">
        <v>391</v>
      </c>
      <c r="P301" s="5" t="s">
        <v>135</v>
      </c>
      <c r="Q301" s="12" t="n">
        <v>0.8</v>
      </c>
      <c r="R301" s="6" t="s">
        <v>1251</v>
      </c>
      <c r="S301" s="7" t="s">
        <v>138</v>
      </c>
    </row>
    <row r="302" customFormat="false" ht="23.85" hidden="false" customHeight="false" outlineLevel="0" collapsed="false">
      <c r="A302" s="5" t="s">
        <v>10</v>
      </c>
      <c r="B302" s="5" t="s">
        <v>72</v>
      </c>
      <c r="C302" s="5" t="n">
        <v>11</v>
      </c>
      <c r="D302" s="6" t="s">
        <v>84</v>
      </c>
      <c r="E302" s="5" t="s">
        <v>703</v>
      </c>
      <c r="F302" s="5" t="s">
        <v>1252</v>
      </c>
      <c r="G302" s="6" t="s">
        <v>1253</v>
      </c>
      <c r="H302" s="6" t="s">
        <v>1254</v>
      </c>
      <c r="I302" s="5" t="s">
        <v>168</v>
      </c>
      <c r="J302" s="11" t="n">
        <v>46302</v>
      </c>
      <c r="K302" s="5" t="s">
        <v>12</v>
      </c>
      <c r="L302" s="15" t="s">
        <v>132</v>
      </c>
      <c r="M302" s="5" t="s">
        <v>133</v>
      </c>
      <c r="N302" s="5" t="s">
        <v>134</v>
      </c>
      <c r="O302" s="16" t="s">
        <v>391</v>
      </c>
      <c r="P302" s="5" t="s">
        <v>135</v>
      </c>
      <c r="Q302" s="12" t="n">
        <v>0.85</v>
      </c>
      <c r="R302" s="6" t="s">
        <v>157</v>
      </c>
      <c r="S302" s="7" t="s">
        <v>138</v>
      </c>
    </row>
    <row r="303" customFormat="false" ht="23.85" hidden="false" customHeight="false" outlineLevel="0" collapsed="false">
      <c r="A303" s="5" t="s">
        <v>10</v>
      </c>
      <c r="B303" s="5" t="s">
        <v>72</v>
      </c>
      <c r="C303" s="5" t="n">
        <v>11</v>
      </c>
      <c r="D303" s="6" t="s">
        <v>84</v>
      </c>
      <c r="E303" s="5" t="s">
        <v>209</v>
      </c>
      <c r="F303" s="5" t="s">
        <v>1255</v>
      </c>
      <c r="G303" s="6" t="s">
        <v>1256</v>
      </c>
      <c r="H303" s="6" t="s">
        <v>1257</v>
      </c>
      <c r="I303" s="5" t="s">
        <v>213</v>
      </c>
      <c r="J303" s="11" t="n">
        <v>46302</v>
      </c>
      <c r="K303" s="5" t="s">
        <v>12</v>
      </c>
      <c r="L303" s="15" t="s">
        <v>132</v>
      </c>
      <c r="M303" s="5" t="s">
        <v>133</v>
      </c>
      <c r="N303" s="5" t="s">
        <v>134</v>
      </c>
      <c r="O303" s="16" t="s">
        <v>391</v>
      </c>
      <c r="P303" s="5" t="s">
        <v>135</v>
      </c>
      <c r="Q303" s="12" t="n">
        <v>0.85</v>
      </c>
      <c r="R303" s="6" t="s">
        <v>157</v>
      </c>
      <c r="S303" s="7" t="s">
        <v>138</v>
      </c>
    </row>
    <row r="304" customFormat="false" ht="23.85" hidden="false" customHeight="false" outlineLevel="0" collapsed="false">
      <c r="A304" s="5" t="s">
        <v>10</v>
      </c>
      <c r="B304" s="5" t="s">
        <v>72</v>
      </c>
      <c r="C304" s="5" t="n">
        <v>11</v>
      </c>
      <c r="D304" s="6" t="s">
        <v>84</v>
      </c>
      <c r="E304" s="5" t="s">
        <v>209</v>
      </c>
      <c r="F304" s="5" t="s">
        <v>1258</v>
      </c>
      <c r="G304" s="6" t="s">
        <v>1259</v>
      </c>
      <c r="H304" s="6" t="s">
        <v>1260</v>
      </c>
      <c r="I304" s="5" t="s">
        <v>213</v>
      </c>
      <c r="J304" s="11" t="n">
        <v>46302</v>
      </c>
      <c r="K304" s="5" t="s">
        <v>12</v>
      </c>
      <c r="L304" s="15" t="s">
        <v>132</v>
      </c>
      <c r="M304" s="5" t="s">
        <v>133</v>
      </c>
      <c r="N304" s="5" t="s">
        <v>134</v>
      </c>
      <c r="O304" s="16" t="s">
        <v>391</v>
      </c>
      <c r="P304" s="5" t="s">
        <v>135</v>
      </c>
      <c r="Q304" s="12" t="n">
        <v>0.85</v>
      </c>
      <c r="R304" s="6" t="s">
        <v>157</v>
      </c>
      <c r="S304" s="7" t="s">
        <v>138</v>
      </c>
    </row>
    <row r="305" customFormat="false" ht="102.2" hidden="false" customHeight="false" outlineLevel="0" collapsed="false">
      <c r="A305" s="5" t="s">
        <v>10</v>
      </c>
      <c r="B305" s="5" t="s">
        <v>72</v>
      </c>
      <c r="C305" s="5" t="n">
        <v>11</v>
      </c>
      <c r="D305" s="6" t="s">
        <v>84</v>
      </c>
      <c r="E305" s="5" t="s">
        <v>232</v>
      </c>
      <c r="F305" s="5" t="s">
        <v>1261</v>
      </c>
      <c r="G305" s="6" t="s">
        <v>1262</v>
      </c>
      <c r="H305" s="6" t="s">
        <v>1263</v>
      </c>
      <c r="I305" s="5" t="s">
        <v>221</v>
      </c>
      <c r="J305" s="11" t="n">
        <v>46302</v>
      </c>
      <c r="K305" s="5" t="s">
        <v>12</v>
      </c>
      <c r="L305" s="15" t="s">
        <v>132</v>
      </c>
      <c r="M305" s="5" t="s">
        <v>133</v>
      </c>
      <c r="N305" s="5" t="s">
        <v>134</v>
      </c>
      <c r="O305" s="16" t="s">
        <v>391</v>
      </c>
      <c r="P305" s="5" t="s">
        <v>135</v>
      </c>
      <c r="Q305" s="12" t="n">
        <v>0.85</v>
      </c>
      <c r="R305" s="6" t="s">
        <v>1264</v>
      </c>
      <c r="S305" s="7" t="s">
        <v>138</v>
      </c>
    </row>
    <row r="306" customFormat="false" ht="35.05" hidden="false" customHeight="false" outlineLevel="0" collapsed="false">
      <c r="A306" s="5" t="s">
        <v>10</v>
      </c>
      <c r="B306" s="5" t="s">
        <v>72</v>
      </c>
      <c r="C306" s="5" t="n">
        <v>11</v>
      </c>
      <c r="D306" s="6" t="s">
        <v>84</v>
      </c>
      <c r="E306" s="5" t="s">
        <v>232</v>
      </c>
      <c r="F306" s="5" t="s">
        <v>1265</v>
      </c>
      <c r="G306" s="6" t="s">
        <v>1266</v>
      </c>
      <c r="H306" s="6" t="s">
        <v>1267</v>
      </c>
      <c r="I306" s="5" t="s">
        <v>221</v>
      </c>
      <c r="J306" s="11" t="n">
        <v>46302</v>
      </c>
      <c r="K306" s="5" t="s">
        <v>12</v>
      </c>
      <c r="L306" s="15" t="s">
        <v>132</v>
      </c>
      <c r="M306" s="5" t="s">
        <v>133</v>
      </c>
      <c r="N306" s="5" t="s">
        <v>134</v>
      </c>
      <c r="O306" s="16" t="s">
        <v>391</v>
      </c>
      <c r="P306" s="5" t="s">
        <v>135</v>
      </c>
      <c r="Q306" s="12" t="n">
        <v>0.8</v>
      </c>
      <c r="R306" s="6" t="s">
        <v>1268</v>
      </c>
      <c r="S306" s="7" t="s">
        <v>138</v>
      </c>
    </row>
    <row r="307" customFormat="false" ht="35.05" hidden="false" customHeight="false" outlineLevel="0" collapsed="false">
      <c r="A307" s="5" t="s">
        <v>10</v>
      </c>
      <c r="B307" s="5" t="s">
        <v>72</v>
      </c>
      <c r="C307" s="5" t="n">
        <v>11</v>
      </c>
      <c r="D307" s="6" t="s">
        <v>84</v>
      </c>
      <c r="E307" s="5" t="s">
        <v>232</v>
      </c>
      <c r="F307" s="5" t="s">
        <v>1269</v>
      </c>
      <c r="G307" s="6" t="s">
        <v>1270</v>
      </c>
      <c r="H307" s="6" t="s">
        <v>1271</v>
      </c>
      <c r="I307" s="5" t="s">
        <v>221</v>
      </c>
      <c r="J307" s="11" t="n">
        <v>46302</v>
      </c>
      <c r="K307" s="5" t="s">
        <v>12</v>
      </c>
      <c r="L307" s="15" t="s">
        <v>132</v>
      </c>
      <c r="M307" s="5" t="s">
        <v>133</v>
      </c>
      <c r="N307" s="5" t="s">
        <v>134</v>
      </c>
      <c r="O307" s="17" t="s">
        <v>743</v>
      </c>
      <c r="P307" s="5" t="s">
        <v>743</v>
      </c>
      <c r="Q307" s="12" t="n">
        <v>0.2</v>
      </c>
      <c r="R307" s="6" t="s">
        <v>1272</v>
      </c>
      <c r="S307" s="7" t="s">
        <v>138</v>
      </c>
    </row>
    <row r="308" customFormat="false" ht="35.05" hidden="false" customHeight="false" outlineLevel="0" collapsed="false">
      <c r="A308" s="5" t="s">
        <v>10</v>
      </c>
      <c r="B308" s="5" t="s">
        <v>72</v>
      </c>
      <c r="C308" s="5" t="n">
        <v>11</v>
      </c>
      <c r="D308" s="6" t="s">
        <v>84</v>
      </c>
      <c r="E308" s="5" t="s">
        <v>232</v>
      </c>
      <c r="F308" s="5" t="s">
        <v>1273</v>
      </c>
      <c r="G308" s="6" t="s">
        <v>1274</v>
      </c>
      <c r="H308" s="6" t="s">
        <v>1275</v>
      </c>
      <c r="I308" s="5" t="s">
        <v>221</v>
      </c>
      <c r="J308" s="11" t="n">
        <v>46302</v>
      </c>
      <c r="K308" s="5" t="s">
        <v>12</v>
      </c>
      <c r="L308" s="15" t="s">
        <v>132</v>
      </c>
      <c r="M308" s="5" t="s">
        <v>133</v>
      </c>
      <c r="N308" s="5" t="s">
        <v>134</v>
      </c>
      <c r="O308" s="16" t="s">
        <v>391</v>
      </c>
      <c r="P308" s="5" t="s">
        <v>135</v>
      </c>
      <c r="Q308" s="12" t="n">
        <v>0.8</v>
      </c>
      <c r="R308" s="6" t="s">
        <v>1276</v>
      </c>
      <c r="S308" s="7" t="s">
        <v>138</v>
      </c>
    </row>
    <row r="309" customFormat="false" ht="35.05" hidden="false" customHeight="false" outlineLevel="0" collapsed="false">
      <c r="A309" s="5" t="s">
        <v>10</v>
      </c>
      <c r="B309" s="5" t="s">
        <v>72</v>
      </c>
      <c r="C309" s="5" t="n">
        <v>11</v>
      </c>
      <c r="D309" s="6" t="s">
        <v>84</v>
      </c>
      <c r="E309" s="5" t="s">
        <v>260</v>
      </c>
      <c r="F309" s="5" t="s">
        <v>1277</v>
      </c>
      <c r="G309" s="6" t="s">
        <v>1278</v>
      </c>
      <c r="H309" s="6" t="s">
        <v>1279</v>
      </c>
      <c r="I309" s="5" t="s">
        <v>183</v>
      </c>
      <c r="J309" s="11" t="n">
        <v>46302</v>
      </c>
      <c r="K309" s="5" t="s">
        <v>12</v>
      </c>
      <c r="L309" s="15" t="s">
        <v>132</v>
      </c>
      <c r="M309" s="5" t="s">
        <v>133</v>
      </c>
      <c r="N309" s="5" t="s">
        <v>134</v>
      </c>
      <c r="O309" s="16" t="s">
        <v>391</v>
      </c>
      <c r="P309" s="5" t="s">
        <v>135</v>
      </c>
      <c r="Q309" s="12" t="n">
        <v>0.8</v>
      </c>
      <c r="R309" s="6" t="s">
        <v>1280</v>
      </c>
      <c r="S309" s="7" t="s">
        <v>138</v>
      </c>
    </row>
    <row r="310" customFormat="false" ht="46.25" hidden="false" customHeight="false" outlineLevel="0" collapsed="false">
      <c r="A310" s="5" t="s">
        <v>10</v>
      </c>
      <c r="B310" s="5" t="s">
        <v>72</v>
      </c>
      <c r="C310" s="5" t="n">
        <v>11</v>
      </c>
      <c r="D310" s="6" t="s">
        <v>84</v>
      </c>
      <c r="E310" s="5" t="s">
        <v>1281</v>
      </c>
      <c r="F310" s="5" t="s">
        <v>1282</v>
      </c>
      <c r="G310" s="6" t="s">
        <v>1283</v>
      </c>
      <c r="H310" s="6" t="s">
        <v>1284</v>
      </c>
      <c r="I310" s="5" t="s">
        <v>1285</v>
      </c>
      <c r="J310" s="11" t="n">
        <v>46302</v>
      </c>
      <c r="K310" s="5" t="s">
        <v>12</v>
      </c>
      <c r="L310" s="15" t="s">
        <v>132</v>
      </c>
      <c r="M310" s="5" t="s">
        <v>133</v>
      </c>
      <c r="N310" s="5" t="s">
        <v>134</v>
      </c>
      <c r="O310" s="16" t="s">
        <v>391</v>
      </c>
      <c r="P310" s="5" t="s">
        <v>135</v>
      </c>
      <c r="Q310" s="12" t="n">
        <v>0.85</v>
      </c>
      <c r="R310" s="6" t="s">
        <v>1286</v>
      </c>
      <c r="S310" s="7" t="s">
        <v>138</v>
      </c>
    </row>
    <row r="311" customFormat="false" ht="35.05" hidden="false" customHeight="false" outlineLevel="0" collapsed="false">
      <c r="A311" s="5" t="s">
        <v>10</v>
      </c>
      <c r="B311" s="5" t="s">
        <v>72</v>
      </c>
      <c r="C311" s="5" t="n">
        <v>11</v>
      </c>
      <c r="D311" s="6" t="s">
        <v>84</v>
      </c>
      <c r="E311" s="5" t="s">
        <v>1281</v>
      </c>
      <c r="F311" s="5" t="s">
        <v>1287</v>
      </c>
      <c r="G311" s="6" t="s">
        <v>1288</v>
      </c>
      <c r="H311" s="6" t="s">
        <v>1289</v>
      </c>
      <c r="I311" s="5" t="s">
        <v>1285</v>
      </c>
      <c r="J311" s="11" t="n">
        <v>46302</v>
      </c>
      <c r="K311" s="5" t="s">
        <v>12</v>
      </c>
      <c r="L311" s="15" t="s">
        <v>132</v>
      </c>
      <c r="M311" s="5" t="s">
        <v>133</v>
      </c>
      <c r="N311" s="5" t="s">
        <v>134</v>
      </c>
      <c r="O311" s="16" t="s">
        <v>391</v>
      </c>
      <c r="P311" s="5" t="s">
        <v>135</v>
      </c>
      <c r="Q311" s="12" t="n">
        <v>0.85</v>
      </c>
      <c r="R311" s="6" t="s">
        <v>157</v>
      </c>
      <c r="S311" s="7" t="s">
        <v>138</v>
      </c>
    </row>
    <row r="312" customFormat="false" ht="23.85" hidden="false" customHeight="false" outlineLevel="0" collapsed="false">
      <c r="A312" s="5" t="s">
        <v>10</v>
      </c>
      <c r="B312" s="5" t="s">
        <v>72</v>
      </c>
      <c r="C312" s="5" t="n">
        <v>11</v>
      </c>
      <c r="D312" s="6" t="s">
        <v>84</v>
      </c>
      <c r="E312" s="5" t="s">
        <v>1290</v>
      </c>
      <c r="F312" s="5" t="s">
        <v>1291</v>
      </c>
      <c r="G312" s="6" t="s">
        <v>1292</v>
      </c>
      <c r="H312" s="6" t="s">
        <v>1293</v>
      </c>
      <c r="I312" s="5" t="s">
        <v>1285</v>
      </c>
      <c r="J312" s="11" t="n">
        <v>46302</v>
      </c>
      <c r="K312" s="5" t="s">
        <v>12</v>
      </c>
      <c r="L312" s="15" t="s">
        <v>132</v>
      </c>
      <c r="M312" s="5" t="s">
        <v>133</v>
      </c>
      <c r="N312" s="5" t="s">
        <v>134</v>
      </c>
      <c r="O312" s="16" t="s">
        <v>391</v>
      </c>
      <c r="P312" s="5" t="s">
        <v>135</v>
      </c>
      <c r="Q312" s="12" t="n">
        <v>0.85</v>
      </c>
      <c r="R312" s="6" t="s">
        <v>1294</v>
      </c>
      <c r="S312" s="7" t="s">
        <v>138</v>
      </c>
    </row>
    <row r="313" customFormat="false" ht="35.05" hidden="false" customHeight="false" outlineLevel="0" collapsed="false">
      <c r="A313" s="5" t="s">
        <v>10</v>
      </c>
      <c r="B313" s="5" t="s">
        <v>72</v>
      </c>
      <c r="C313" s="5" t="n">
        <v>11</v>
      </c>
      <c r="D313" s="6" t="s">
        <v>84</v>
      </c>
      <c r="E313" s="5" t="s">
        <v>146</v>
      </c>
      <c r="F313" s="5" t="s">
        <v>1295</v>
      </c>
      <c r="G313" s="6" t="s">
        <v>1296</v>
      </c>
      <c r="H313" s="6" t="s">
        <v>1297</v>
      </c>
      <c r="I313" s="5" t="s">
        <v>1285</v>
      </c>
      <c r="J313" s="11" t="n">
        <v>46302</v>
      </c>
      <c r="K313" s="5" t="s">
        <v>12</v>
      </c>
      <c r="L313" s="15" t="s">
        <v>132</v>
      </c>
      <c r="M313" s="5" t="s">
        <v>133</v>
      </c>
      <c r="N313" s="5" t="s">
        <v>134</v>
      </c>
      <c r="O313" s="16" t="s">
        <v>391</v>
      </c>
      <c r="P313" s="5" t="s">
        <v>135</v>
      </c>
      <c r="Q313" s="12" t="n">
        <v>0.85</v>
      </c>
      <c r="R313" s="6" t="s">
        <v>1298</v>
      </c>
      <c r="S313" s="7" t="s">
        <v>138</v>
      </c>
    </row>
    <row r="314" customFormat="false" ht="35.05" hidden="false" customHeight="false" outlineLevel="0" collapsed="false">
      <c r="A314" s="5" t="s">
        <v>10</v>
      </c>
      <c r="B314" s="5" t="s">
        <v>72</v>
      </c>
      <c r="C314" s="5" t="n">
        <v>11</v>
      </c>
      <c r="D314" s="6" t="s">
        <v>84</v>
      </c>
      <c r="E314" s="5" t="s">
        <v>1299</v>
      </c>
      <c r="F314" s="5" t="s">
        <v>1300</v>
      </c>
      <c r="G314" s="6" t="s">
        <v>1301</v>
      </c>
      <c r="H314" s="6" t="s">
        <v>1302</v>
      </c>
      <c r="I314" s="5" t="s">
        <v>1285</v>
      </c>
      <c r="J314" s="11" t="n">
        <v>46302</v>
      </c>
      <c r="K314" s="5" t="s">
        <v>12</v>
      </c>
      <c r="L314" s="15" t="s">
        <v>132</v>
      </c>
      <c r="M314" s="5" t="s">
        <v>133</v>
      </c>
      <c r="N314" s="5" t="s">
        <v>134</v>
      </c>
      <c r="O314" s="16" t="s">
        <v>391</v>
      </c>
      <c r="P314" s="5" t="s">
        <v>135</v>
      </c>
      <c r="Q314" s="12" t="n">
        <v>0.85</v>
      </c>
      <c r="R314" s="6" t="s">
        <v>1303</v>
      </c>
      <c r="S314" s="7" t="s">
        <v>138</v>
      </c>
    </row>
    <row r="315" customFormat="false" ht="23.85" hidden="false" customHeight="false" outlineLevel="0" collapsed="false">
      <c r="A315" s="5" t="s">
        <v>10</v>
      </c>
      <c r="B315" s="5" t="s">
        <v>72</v>
      </c>
      <c r="C315" s="5" t="n">
        <v>11</v>
      </c>
      <c r="D315" s="6" t="s">
        <v>84</v>
      </c>
      <c r="E315" s="5" t="s">
        <v>1299</v>
      </c>
      <c r="F315" s="5" t="s">
        <v>1304</v>
      </c>
      <c r="G315" s="6" t="s">
        <v>1305</v>
      </c>
      <c r="H315" s="6" t="s">
        <v>1306</v>
      </c>
      <c r="I315" s="5" t="s">
        <v>1285</v>
      </c>
      <c r="J315" s="11" t="n">
        <v>46302</v>
      </c>
      <c r="K315" s="5" t="s">
        <v>12</v>
      </c>
      <c r="L315" s="15" t="s">
        <v>132</v>
      </c>
      <c r="M315" s="5" t="s">
        <v>133</v>
      </c>
      <c r="N315" s="5" t="s">
        <v>134</v>
      </c>
      <c r="O315" s="16" t="s">
        <v>391</v>
      </c>
      <c r="P315" s="5" t="s">
        <v>135</v>
      </c>
      <c r="Q315" s="12" t="n">
        <v>0.85</v>
      </c>
      <c r="R315" s="6" t="s">
        <v>1307</v>
      </c>
      <c r="S315" s="7" t="s">
        <v>138</v>
      </c>
    </row>
    <row r="316" customFormat="false" ht="23.85" hidden="false" customHeight="false" outlineLevel="0" collapsed="false">
      <c r="A316" s="5" t="s">
        <v>10</v>
      </c>
      <c r="B316" s="5" t="s">
        <v>72</v>
      </c>
      <c r="C316" s="5" t="n">
        <v>11</v>
      </c>
      <c r="D316" s="6" t="s">
        <v>84</v>
      </c>
      <c r="E316" s="5" t="s">
        <v>1281</v>
      </c>
      <c r="F316" s="5" t="s">
        <v>1308</v>
      </c>
      <c r="G316" s="6" t="s">
        <v>1309</v>
      </c>
      <c r="H316" s="6" t="s">
        <v>1310</v>
      </c>
      <c r="I316" s="5" t="s">
        <v>1285</v>
      </c>
      <c r="J316" s="11" t="n">
        <v>46302</v>
      </c>
      <c r="K316" s="5" t="s">
        <v>12</v>
      </c>
      <c r="L316" s="15" t="s">
        <v>132</v>
      </c>
      <c r="M316" s="5" t="s">
        <v>133</v>
      </c>
      <c r="N316" s="5" t="s">
        <v>134</v>
      </c>
      <c r="O316" s="16" t="s">
        <v>391</v>
      </c>
      <c r="P316" s="5" t="s">
        <v>135</v>
      </c>
      <c r="Q316" s="12" t="n">
        <v>0.85</v>
      </c>
      <c r="R316" s="6" t="s">
        <v>1311</v>
      </c>
      <c r="S316" s="7" t="s">
        <v>138</v>
      </c>
    </row>
    <row r="317" customFormat="false" ht="23.85" hidden="false" customHeight="false" outlineLevel="0" collapsed="false">
      <c r="A317" s="5" t="s">
        <v>10</v>
      </c>
      <c r="B317" s="5" t="s">
        <v>72</v>
      </c>
      <c r="C317" s="5" t="n">
        <v>11</v>
      </c>
      <c r="D317" s="6" t="s">
        <v>84</v>
      </c>
      <c r="E317" s="5" t="s">
        <v>146</v>
      </c>
      <c r="F317" s="5" t="s">
        <v>1312</v>
      </c>
      <c r="G317" s="6" t="s">
        <v>1313</v>
      </c>
      <c r="H317" s="6" t="s">
        <v>1314</v>
      </c>
      <c r="I317" s="5" t="s">
        <v>1285</v>
      </c>
      <c r="J317" s="11" t="n">
        <v>46302</v>
      </c>
      <c r="K317" s="5" t="s">
        <v>12</v>
      </c>
      <c r="L317" s="15" t="s">
        <v>132</v>
      </c>
      <c r="M317" s="5" t="s">
        <v>133</v>
      </c>
      <c r="N317" s="5" t="s">
        <v>134</v>
      </c>
      <c r="O317" s="16" t="s">
        <v>391</v>
      </c>
      <c r="P317" s="5" t="s">
        <v>135</v>
      </c>
      <c r="Q317" s="12" t="n">
        <v>0.85</v>
      </c>
      <c r="R317" s="6" t="s">
        <v>157</v>
      </c>
      <c r="S317" s="7" t="s">
        <v>138</v>
      </c>
    </row>
    <row r="318" customFormat="false" ht="91" hidden="false" customHeight="false" outlineLevel="0" collapsed="false">
      <c r="A318" s="5" t="s">
        <v>10</v>
      </c>
      <c r="B318" s="5" t="s">
        <v>72</v>
      </c>
      <c r="C318" s="5" t="n">
        <v>11</v>
      </c>
      <c r="D318" s="6" t="s">
        <v>84</v>
      </c>
      <c r="E318" s="5" t="s">
        <v>146</v>
      </c>
      <c r="F318" s="5" t="s">
        <v>1315</v>
      </c>
      <c r="G318" s="6" t="s">
        <v>1316</v>
      </c>
      <c r="H318" s="6" t="s">
        <v>1317</v>
      </c>
      <c r="I318" s="5" t="s">
        <v>1285</v>
      </c>
      <c r="J318" s="11" t="n">
        <v>46302</v>
      </c>
      <c r="K318" s="5" t="s">
        <v>12</v>
      </c>
      <c r="L318" s="15" t="s">
        <v>132</v>
      </c>
      <c r="M318" s="5" t="s">
        <v>133</v>
      </c>
      <c r="N318" s="5" t="s">
        <v>134</v>
      </c>
      <c r="O318" s="16" t="s">
        <v>391</v>
      </c>
      <c r="P318" s="5" t="s">
        <v>135</v>
      </c>
      <c r="Q318" s="12" t="n">
        <v>0.85</v>
      </c>
      <c r="R318" s="6" t="s">
        <v>1318</v>
      </c>
      <c r="S318" s="7" t="s">
        <v>138</v>
      </c>
    </row>
    <row r="319" customFormat="false" ht="23.85" hidden="false" customHeight="false" outlineLevel="0" collapsed="false">
      <c r="A319" s="5" t="s">
        <v>10</v>
      </c>
      <c r="B319" s="5" t="s">
        <v>72</v>
      </c>
      <c r="C319" s="5" t="n">
        <v>11</v>
      </c>
      <c r="D319" s="6" t="s">
        <v>84</v>
      </c>
      <c r="E319" s="5" t="s">
        <v>146</v>
      </c>
      <c r="F319" s="5" t="s">
        <v>1319</v>
      </c>
      <c r="G319" s="6" t="s">
        <v>1320</v>
      </c>
      <c r="H319" s="6" t="s">
        <v>1321</v>
      </c>
      <c r="I319" s="5" t="s">
        <v>1285</v>
      </c>
      <c r="J319" s="11" t="n">
        <v>46302</v>
      </c>
      <c r="K319" s="5" t="s">
        <v>12</v>
      </c>
      <c r="L319" s="15" t="s">
        <v>132</v>
      </c>
      <c r="M319" s="5" t="s">
        <v>133</v>
      </c>
      <c r="N319" s="5" t="s">
        <v>134</v>
      </c>
      <c r="O319" s="16" t="s">
        <v>391</v>
      </c>
      <c r="P319" s="5" t="s">
        <v>135</v>
      </c>
      <c r="Q319" s="12" t="n">
        <v>0.85</v>
      </c>
      <c r="R319" s="6" t="s">
        <v>157</v>
      </c>
      <c r="S319" s="7" t="s">
        <v>138</v>
      </c>
    </row>
    <row r="320" customFormat="false" ht="23.85" hidden="false" customHeight="false" outlineLevel="0" collapsed="false">
      <c r="A320" s="5" t="s">
        <v>10</v>
      </c>
      <c r="B320" s="5" t="s">
        <v>72</v>
      </c>
      <c r="C320" s="5" t="n">
        <v>11</v>
      </c>
      <c r="D320" s="6" t="s">
        <v>84</v>
      </c>
      <c r="E320" s="5" t="s">
        <v>146</v>
      </c>
      <c r="F320" s="5" t="s">
        <v>1322</v>
      </c>
      <c r="G320" s="6" t="s">
        <v>1323</v>
      </c>
      <c r="H320" s="6" t="s">
        <v>1324</v>
      </c>
      <c r="I320" s="5" t="s">
        <v>1285</v>
      </c>
      <c r="J320" s="11" t="n">
        <v>46302</v>
      </c>
      <c r="K320" s="5" t="s">
        <v>12</v>
      </c>
      <c r="L320" s="15" t="s">
        <v>132</v>
      </c>
      <c r="M320" s="5" t="s">
        <v>133</v>
      </c>
      <c r="N320" s="5" t="s">
        <v>134</v>
      </c>
      <c r="O320" s="16" t="s">
        <v>391</v>
      </c>
      <c r="P320" s="5" t="s">
        <v>135</v>
      </c>
      <c r="Q320" s="12" t="n">
        <v>0.85</v>
      </c>
      <c r="R320" s="6" t="s">
        <v>157</v>
      </c>
      <c r="S320" s="7" t="s">
        <v>138</v>
      </c>
    </row>
    <row r="321" customFormat="false" ht="23.85" hidden="false" customHeight="false" outlineLevel="0" collapsed="false">
      <c r="A321" s="5" t="s">
        <v>10</v>
      </c>
      <c r="B321" s="5" t="s">
        <v>72</v>
      </c>
      <c r="C321" s="5" t="n">
        <v>11</v>
      </c>
      <c r="D321" s="6" t="s">
        <v>84</v>
      </c>
      <c r="E321" s="5" t="s">
        <v>1281</v>
      </c>
      <c r="F321" s="5" t="s">
        <v>1325</v>
      </c>
      <c r="G321" s="6" t="s">
        <v>1326</v>
      </c>
      <c r="H321" s="6" t="s">
        <v>1327</v>
      </c>
      <c r="I321" s="5" t="s">
        <v>1285</v>
      </c>
      <c r="J321" s="11" t="n">
        <v>46302</v>
      </c>
      <c r="K321" s="5" t="s">
        <v>12</v>
      </c>
      <c r="L321" s="15" t="s">
        <v>132</v>
      </c>
      <c r="M321" s="5" t="s">
        <v>133</v>
      </c>
      <c r="N321" s="5" t="s">
        <v>134</v>
      </c>
      <c r="O321" s="16" t="s">
        <v>391</v>
      </c>
      <c r="P321" s="5" t="s">
        <v>135</v>
      </c>
      <c r="Q321" s="12" t="n">
        <v>0.85</v>
      </c>
      <c r="R321" s="6" t="s">
        <v>1328</v>
      </c>
      <c r="S321" s="7" t="s">
        <v>138</v>
      </c>
    </row>
    <row r="322" customFormat="false" ht="23.85" hidden="false" customHeight="false" outlineLevel="0" collapsed="false">
      <c r="A322" s="5" t="s">
        <v>10</v>
      </c>
      <c r="B322" s="5" t="s">
        <v>72</v>
      </c>
      <c r="C322" s="5" t="n">
        <v>11</v>
      </c>
      <c r="D322" s="6" t="s">
        <v>84</v>
      </c>
      <c r="E322" s="5" t="s">
        <v>1299</v>
      </c>
      <c r="F322" s="5" t="s">
        <v>1329</v>
      </c>
      <c r="G322" s="6" t="s">
        <v>1330</v>
      </c>
      <c r="H322" s="6" t="s">
        <v>1331</v>
      </c>
      <c r="I322" s="5" t="s">
        <v>1285</v>
      </c>
      <c r="J322" s="11" t="n">
        <v>46302</v>
      </c>
      <c r="K322" s="5" t="s">
        <v>12</v>
      </c>
      <c r="L322" s="15" t="s">
        <v>132</v>
      </c>
      <c r="M322" s="5" t="s">
        <v>133</v>
      </c>
      <c r="N322" s="5" t="s">
        <v>134</v>
      </c>
      <c r="O322" s="16" t="s">
        <v>391</v>
      </c>
      <c r="P322" s="5" t="s">
        <v>135</v>
      </c>
      <c r="Q322" s="12" t="n">
        <v>0.85</v>
      </c>
      <c r="R322" s="6" t="s">
        <v>1332</v>
      </c>
      <c r="S322" s="7" t="s">
        <v>138</v>
      </c>
    </row>
    <row r="323" customFormat="false" ht="23.85" hidden="false" customHeight="false" outlineLevel="0" collapsed="false">
      <c r="A323" s="5" t="s">
        <v>10</v>
      </c>
      <c r="B323" s="5" t="s">
        <v>72</v>
      </c>
      <c r="C323" s="5" t="n">
        <v>11</v>
      </c>
      <c r="D323" s="6" t="s">
        <v>84</v>
      </c>
      <c r="E323" s="5" t="s">
        <v>146</v>
      </c>
      <c r="F323" s="5" t="s">
        <v>1333</v>
      </c>
      <c r="G323" s="6" t="s">
        <v>1334</v>
      </c>
      <c r="H323" s="6" t="s">
        <v>1335</v>
      </c>
      <c r="I323" s="5" t="s">
        <v>1285</v>
      </c>
      <c r="J323" s="11" t="n">
        <v>46302</v>
      </c>
      <c r="K323" s="5" t="s">
        <v>12</v>
      </c>
      <c r="L323" s="15" t="s">
        <v>132</v>
      </c>
      <c r="M323" s="5" t="s">
        <v>133</v>
      </c>
      <c r="N323" s="5" t="s">
        <v>134</v>
      </c>
      <c r="O323" s="16" t="s">
        <v>391</v>
      </c>
      <c r="P323" s="5" t="s">
        <v>135</v>
      </c>
      <c r="Q323" s="12" t="n">
        <v>0.85</v>
      </c>
      <c r="R323" s="6" t="s">
        <v>1336</v>
      </c>
      <c r="S323" s="7" t="s">
        <v>138</v>
      </c>
    </row>
    <row r="324" customFormat="false" ht="35.05" hidden="false" customHeight="false" outlineLevel="0" collapsed="false">
      <c r="A324" s="5" t="s">
        <v>10</v>
      </c>
      <c r="B324" s="5" t="s">
        <v>72</v>
      </c>
      <c r="C324" s="5" t="n">
        <v>11</v>
      </c>
      <c r="D324" s="6" t="s">
        <v>84</v>
      </c>
      <c r="E324" s="5" t="s">
        <v>127</v>
      </c>
      <c r="F324" s="5" t="s">
        <v>1337</v>
      </c>
      <c r="G324" s="6" t="s">
        <v>1338</v>
      </c>
      <c r="H324" s="6" t="s">
        <v>1339</v>
      </c>
      <c r="I324" s="5" t="s">
        <v>1285</v>
      </c>
      <c r="J324" s="11" t="n">
        <v>46302</v>
      </c>
      <c r="K324" s="5" t="s">
        <v>12</v>
      </c>
      <c r="L324" s="15" t="s">
        <v>132</v>
      </c>
      <c r="M324" s="5" t="s">
        <v>133</v>
      </c>
      <c r="N324" s="5" t="s">
        <v>134</v>
      </c>
      <c r="O324" s="16" t="s">
        <v>391</v>
      </c>
      <c r="P324" s="5" t="s">
        <v>135</v>
      </c>
      <c r="Q324" s="12" t="n">
        <v>0.85</v>
      </c>
      <c r="R324" s="6" t="s">
        <v>1340</v>
      </c>
      <c r="S324" s="7" t="s">
        <v>138</v>
      </c>
    </row>
    <row r="325" customFormat="false" ht="23.85" hidden="false" customHeight="false" outlineLevel="0" collapsed="false">
      <c r="A325" s="5" t="s">
        <v>10</v>
      </c>
      <c r="B325" s="5" t="s">
        <v>72</v>
      </c>
      <c r="C325" s="5" t="n">
        <v>11</v>
      </c>
      <c r="D325" s="6" t="s">
        <v>84</v>
      </c>
      <c r="E325" s="5" t="s">
        <v>1299</v>
      </c>
      <c r="F325" s="5" t="s">
        <v>1341</v>
      </c>
      <c r="G325" s="6" t="s">
        <v>1342</v>
      </c>
      <c r="H325" s="6" t="s">
        <v>1343</v>
      </c>
      <c r="I325" s="5" t="s">
        <v>1285</v>
      </c>
      <c r="J325" s="11" t="n">
        <v>46302</v>
      </c>
      <c r="K325" s="5" t="s">
        <v>12</v>
      </c>
      <c r="L325" s="15" t="s">
        <v>132</v>
      </c>
      <c r="M325" s="5" t="s">
        <v>133</v>
      </c>
      <c r="N325" s="5" t="s">
        <v>134</v>
      </c>
      <c r="O325" s="16" t="s">
        <v>391</v>
      </c>
      <c r="P325" s="5" t="s">
        <v>135</v>
      </c>
      <c r="Q325" s="12" t="n">
        <v>0.85</v>
      </c>
      <c r="R325" s="6" t="s">
        <v>1344</v>
      </c>
      <c r="S325" s="7" t="s">
        <v>138</v>
      </c>
    </row>
    <row r="326" customFormat="false" ht="23.85" hidden="false" customHeight="false" outlineLevel="0" collapsed="false">
      <c r="A326" s="5" t="s">
        <v>10</v>
      </c>
      <c r="B326" s="5" t="s">
        <v>72</v>
      </c>
      <c r="C326" s="5" t="n">
        <v>11</v>
      </c>
      <c r="D326" s="6" t="s">
        <v>84</v>
      </c>
      <c r="E326" s="5" t="s">
        <v>1281</v>
      </c>
      <c r="F326" s="5" t="s">
        <v>1345</v>
      </c>
      <c r="G326" s="6" t="s">
        <v>1346</v>
      </c>
      <c r="H326" s="6" t="s">
        <v>1347</v>
      </c>
      <c r="I326" s="5" t="s">
        <v>1285</v>
      </c>
      <c r="J326" s="11" t="n">
        <v>46302</v>
      </c>
      <c r="K326" s="5" t="s">
        <v>12</v>
      </c>
      <c r="L326" s="15" t="s">
        <v>132</v>
      </c>
      <c r="M326" s="5" t="s">
        <v>133</v>
      </c>
      <c r="N326" s="5" t="s">
        <v>134</v>
      </c>
      <c r="O326" s="16" t="s">
        <v>391</v>
      </c>
      <c r="P326" s="5" t="s">
        <v>135</v>
      </c>
      <c r="Q326" s="12" t="n">
        <v>0.85</v>
      </c>
      <c r="R326" s="6" t="s">
        <v>1348</v>
      </c>
      <c r="S326" s="7" t="s">
        <v>138</v>
      </c>
    </row>
    <row r="327" customFormat="false" ht="23.85" hidden="false" customHeight="false" outlineLevel="0" collapsed="false">
      <c r="A327" s="5" t="s">
        <v>10</v>
      </c>
      <c r="B327" s="5" t="s">
        <v>72</v>
      </c>
      <c r="C327" s="5" t="n">
        <v>11</v>
      </c>
      <c r="D327" s="6" t="s">
        <v>84</v>
      </c>
      <c r="E327" s="5" t="s">
        <v>290</v>
      </c>
      <c r="F327" s="5" t="s">
        <v>1349</v>
      </c>
      <c r="G327" s="6" t="s">
        <v>1350</v>
      </c>
      <c r="H327" s="6" t="s">
        <v>1351</v>
      </c>
      <c r="I327" s="5" t="s">
        <v>1285</v>
      </c>
      <c r="J327" s="11" t="n">
        <v>46302</v>
      </c>
      <c r="K327" s="5" t="s">
        <v>12</v>
      </c>
      <c r="L327" s="15" t="s">
        <v>132</v>
      </c>
      <c r="M327" s="5" t="s">
        <v>133</v>
      </c>
      <c r="N327" s="5" t="s">
        <v>134</v>
      </c>
      <c r="O327" s="16" t="s">
        <v>391</v>
      </c>
      <c r="P327" s="5" t="s">
        <v>135</v>
      </c>
      <c r="Q327" s="12" t="n">
        <v>0.85</v>
      </c>
      <c r="R327" s="6" t="s">
        <v>1352</v>
      </c>
      <c r="S327" s="7" t="s">
        <v>138</v>
      </c>
    </row>
    <row r="328" customFormat="false" ht="23.85" hidden="false" customHeight="false" outlineLevel="0" collapsed="false">
      <c r="A328" s="5" t="s">
        <v>10</v>
      </c>
      <c r="B328" s="5" t="s">
        <v>72</v>
      </c>
      <c r="C328" s="5" t="n">
        <v>11</v>
      </c>
      <c r="D328" s="6" t="s">
        <v>84</v>
      </c>
      <c r="E328" s="5" t="s">
        <v>1299</v>
      </c>
      <c r="F328" s="5" t="s">
        <v>1353</v>
      </c>
      <c r="G328" s="6" t="s">
        <v>1354</v>
      </c>
      <c r="H328" s="6" t="s">
        <v>1355</v>
      </c>
      <c r="I328" s="5" t="s">
        <v>1285</v>
      </c>
      <c r="J328" s="11" t="n">
        <v>46302</v>
      </c>
      <c r="K328" s="5" t="s">
        <v>12</v>
      </c>
      <c r="L328" s="15" t="s">
        <v>132</v>
      </c>
      <c r="M328" s="5" t="s">
        <v>133</v>
      </c>
      <c r="N328" s="5" t="s">
        <v>134</v>
      </c>
      <c r="O328" s="16" t="s">
        <v>391</v>
      </c>
      <c r="P328" s="5" t="s">
        <v>135</v>
      </c>
      <c r="Q328" s="12" t="n">
        <v>0.85</v>
      </c>
      <c r="R328" s="6" t="s">
        <v>1356</v>
      </c>
      <c r="S328" s="7" t="s">
        <v>138</v>
      </c>
    </row>
    <row r="329" customFormat="false" ht="68.65" hidden="false" customHeight="false" outlineLevel="0" collapsed="false">
      <c r="A329" s="5" t="s">
        <v>10</v>
      </c>
      <c r="B329" s="5" t="s">
        <v>72</v>
      </c>
      <c r="C329" s="5" t="n">
        <v>11</v>
      </c>
      <c r="D329" s="6" t="s">
        <v>84</v>
      </c>
      <c r="E329" s="5" t="s">
        <v>146</v>
      </c>
      <c r="F329" s="5" t="s">
        <v>1357</v>
      </c>
      <c r="G329" s="6" t="s">
        <v>1358</v>
      </c>
      <c r="H329" s="6" t="s">
        <v>1359</v>
      </c>
      <c r="I329" s="5" t="s">
        <v>1360</v>
      </c>
      <c r="J329" s="11" t="n">
        <v>46302</v>
      </c>
      <c r="K329" s="5" t="s">
        <v>12</v>
      </c>
      <c r="L329" s="15" t="s">
        <v>132</v>
      </c>
      <c r="M329" s="5" t="s">
        <v>133</v>
      </c>
      <c r="N329" s="5" t="s">
        <v>134</v>
      </c>
      <c r="O329" s="16" t="s">
        <v>391</v>
      </c>
      <c r="P329" s="5" t="s">
        <v>135</v>
      </c>
      <c r="Q329" s="12" t="n">
        <v>0.85</v>
      </c>
      <c r="R329" s="6" t="s">
        <v>1361</v>
      </c>
      <c r="S329" s="7" t="s">
        <v>138</v>
      </c>
    </row>
    <row r="330" customFormat="false" ht="79.85" hidden="false" customHeight="false" outlineLevel="0" collapsed="false">
      <c r="A330" s="5" t="s">
        <v>10</v>
      </c>
      <c r="B330" s="5" t="s">
        <v>72</v>
      </c>
      <c r="C330" s="5" t="n">
        <v>11</v>
      </c>
      <c r="D330" s="6" t="s">
        <v>84</v>
      </c>
      <c r="E330" s="5" t="s">
        <v>1281</v>
      </c>
      <c r="F330" s="5" t="s">
        <v>1362</v>
      </c>
      <c r="G330" s="6" t="s">
        <v>1363</v>
      </c>
      <c r="H330" s="6" t="s">
        <v>1364</v>
      </c>
      <c r="I330" s="5" t="s">
        <v>1360</v>
      </c>
      <c r="J330" s="11" t="n">
        <v>46302</v>
      </c>
      <c r="K330" s="5" t="s">
        <v>12</v>
      </c>
      <c r="L330" s="15" t="s">
        <v>132</v>
      </c>
      <c r="M330" s="5" t="s">
        <v>133</v>
      </c>
      <c r="N330" s="5" t="s">
        <v>134</v>
      </c>
      <c r="O330" s="16" t="s">
        <v>391</v>
      </c>
      <c r="P330" s="5" t="s">
        <v>135</v>
      </c>
      <c r="Q330" s="12" t="n">
        <v>0.85</v>
      </c>
      <c r="R330" s="6" t="s">
        <v>1365</v>
      </c>
      <c r="S330" s="7" t="s">
        <v>138</v>
      </c>
    </row>
    <row r="331" customFormat="false" ht="91" hidden="false" customHeight="false" outlineLevel="0" collapsed="false">
      <c r="A331" s="5" t="s">
        <v>10</v>
      </c>
      <c r="B331" s="5" t="s">
        <v>72</v>
      </c>
      <c r="C331" s="5" t="n">
        <v>11</v>
      </c>
      <c r="D331" s="6" t="s">
        <v>84</v>
      </c>
      <c r="E331" s="5" t="s">
        <v>1281</v>
      </c>
      <c r="F331" s="5" t="s">
        <v>1366</v>
      </c>
      <c r="G331" s="6" t="s">
        <v>1367</v>
      </c>
      <c r="H331" s="6" t="s">
        <v>1368</v>
      </c>
      <c r="I331" s="5" t="s">
        <v>1360</v>
      </c>
      <c r="J331" s="11" t="n">
        <v>46302</v>
      </c>
      <c r="K331" s="5" t="s">
        <v>12</v>
      </c>
      <c r="L331" s="15" t="s">
        <v>132</v>
      </c>
      <c r="M331" s="5" t="s">
        <v>133</v>
      </c>
      <c r="N331" s="5" t="s">
        <v>134</v>
      </c>
      <c r="O331" s="16" t="s">
        <v>391</v>
      </c>
      <c r="P331" s="5" t="s">
        <v>135</v>
      </c>
      <c r="Q331" s="12" t="n">
        <v>0.85</v>
      </c>
      <c r="R331" s="6" t="s">
        <v>1369</v>
      </c>
      <c r="S331" s="7" t="s">
        <v>138</v>
      </c>
    </row>
    <row r="332" customFormat="false" ht="68.65" hidden="false" customHeight="false" outlineLevel="0" collapsed="false">
      <c r="A332" s="5" t="s">
        <v>10</v>
      </c>
      <c r="B332" s="5" t="s">
        <v>72</v>
      </c>
      <c r="C332" s="5" t="n">
        <v>11</v>
      </c>
      <c r="D332" s="6" t="s">
        <v>84</v>
      </c>
      <c r="E332" s="5" t="s">
        <v>1370</v>
      </c>
      <c r="F332" s="5" t="s">
        <v>1371</v>
      </c>
      <c r="G332" s="6" t="s">
        <v>1372</v>
      </c>
      <c r="H332" s="6" t="s">
        <v>1373</v>
      </c>
      <c r="I332" s="5" t="s">
        <v>1360</v>
      </c>
      <c r="J332" s="11" t="n">
        <v>46302</v>
      </c>
      <c r="K332" s="5" t="s">
        <v>12</v>
      </c>
      <c r="L332" s="15" t="s">
        <v>132</v>
      </c>
      <c r="M332" s="5" t="s">
        <v>133</v>
      </c>
      <c r="N332" s="5" t="s">
        <v>134</v>
      </c>
      <c r="O332" s="16" t="s">
        <v>391</v>
      </c>
      <c r="P332" s="5" t="s">
        <v>135</v>
      </c>
      <c r="Q332" s="12" t="n">
        <v>0.85</v>
      </c>
      <c r="R332" s="6" t="s">
        <v>1374</v>
      </c>
      <c r="S332" s="7" t="s">
        <v>138</v>
      </c>
    </row>
    <row r="333" customFormat="false" ht="57.45" hidden="false" customHeight="false" outlineLevel="0" collapsed="false">
      <c r="A333" s="5" t="s">
        <v>10</v>
      </c>
      <c r="B333" s="5" t="s">
        <v>72</v>
      </c>
      <c r="C333" s="5" t="n">
        <v>12</v>
      </c>
      <c r="D333" s="6" t="s">
        <v>85</v>
      </c>
      <c r="E333" s="5" t="s">
        <v>1375</v>
      </c>
      <c r="F333" s="5" t="s">
        <v>1376</v>
      </c>
      <c r="G333" s="6" t="s">
        <v>1377</v>
      </c>
      <c r="H333" s="6" t="s">
        <v>1378</v>
      </c>
      <c r="I333" s="5" t="s">
        <v>1379</v>
      </c>
      <c r="J333" s="11" t="n">
        <v>46303</v>
      </c>
      <c r="K333" s="5" t="s">
        <v>1380</v>
      </c>
      <c r="L333" s="15" t="s">
        <v>132</v>
      </c>
      <c r="M333" s="5" t="s">
        <v>133</v>
      </c>
      <c r="N333" s="5" t="s">
        <v>134</v>
      </c>
      <c r="O333" s="15" t="s">
        <v>135</v>
      </c>
      <c r="P333" s="5" t="s">
        <v>1381</v>
      </c>
      <c r="Q333" s="5"/>
      <c r="R333" s="6" t="s">
        <v>1382</v>
      </c>
      <c r="S333" s="7" t="s">
        <v>1383</v>
      </c>
    </row>
    <row r="334" customFormat="false" ht="35.05" hidden="false" customHeight="false" outlineLevel="0" collapsed="false">
      <c r="A334" s="5" t="s">
        <v>10</v>
      </c>
      <c r="B334" s="5" t="s">
        <v>72</v>
      </c>
      <c r="C334" s="5" t="n">
        <v>12</v>
      </c>
      <c r="D334" s="6" t="s">
        <v>85</v>
      </c>
      <c r="E334" s="5" t="s">
        <v>1384</v>
      </c>
      <c r="F334" s="5" t="s">
        <v>1385</v>
      </c>
      <c r="G334" s="6" t="s">
        <v>1386</v>
      </c>
      <c r="H334" s="6" t="s">
        <v>1387</v>
      </c>
      <c r="I334" s="5" t="s">
        <v>1388</v>
      </c>
      <c r="J334" s="11" t="n">
        <v>46298</v>
      </c>
      <c r="K334" s="5" t="s">
        <v>12</v>
      </c>
      <c r="L334" s="15" t="s">
        <v>132</v>
      </c>
      <c r="M334" s="5" t="s">
        <v>133</v>
      </c>
      <c r="N334" s="5" t="s">
        <v>134</v>
      </c>
      <c r="O334" s="16" t="s">
        <v>391</v>
      </c>
      <c r="P334" s="5" t="s">
        <v>1381</v>
      </c>
      <c r="Q334" s="5"/>
      <c r="R334" s="6" t="s">
        <v>1389</v>
      </c>
      <c r="S334" s="7" t="s">
        <v>1390</v>
      </c>
    </row>
    <row r="335" customFormat="false" ht="35.05" hidden="false" customHeight="false" outlineLevel="0" collapsed="false">
      <c r="A335" s="5" t="s">
        <v>10</v>
      </c>
      <c r="B335" s="5" t="s">
        <v>72</v>
      </c>
      <c r="C335" s="5" t="n">
        <v>12</v>
      </c>
      <c r="D335" s="6" t="s">
        <v>85</v>
      </c>
      <c r="E335" s="5" t="s">
        <v>299</v>
      </c>
      <c r="F335" s="5" t="s">
        <v>1385</v>
      </c>
      <c r="G335" s="6" t="s">
        <v>1391</v>
      </c>
      <c r="H335" s="6" t="s">
        <v>1392</v>
      </c>
      <c r="I335" s="5" t="s">
        <v>1393</v>
      </c>
      <c r="J335" s="11" t="n">
        <v>46302</v>
      </c>
      <c r="K335" s="5" t="s">
        <v>12</v>
      </c>
      <c r="L335" s="15" t="s">
        <v>132</v>
      </c>
      <c r="M335" s="5" t="s">
        <v>133</v>
      </c>
      <c r="N335" s="5" t="s">
        <v>134</v>
      </c>
      <c r="O335" s="16" t="s">
        <v>391</v>
      </c>
      <c r="P335" s="5" t="s">
        <v>1381</v>
      </c>
      <c r="Q335" s="5"/>
      <c r="R335" s="6" t="s">
        <v>1389</v>
      </c>
      <c r="S335" s="7" t="s">
        <v>1390</v>
      </c>
    </row>
    <row r="336" customFormat="false" ht="23.85" hidden="false" customHeight="false" outlineLevel="0" collapsed="false">
      <c r="A336" s="5" t="s">
        <v>10</v>
      </c>
      <c r="B336" s="5" t="s">
        <v>72</v>
      </c>
      <c r="C336" s="5" t="n">
        <v>12</v>
      </c>
      <c r="D336" s="6" t="s">
        <v>85</v>
      </c>
      <c r="E336" s="5" t="s">
        <v>299</v>
      </c>
      <c r="F336" s="5" t="s">
        <v>1394</v>
      </c>
      <c r="G336" s="6" t="s">
        <v>1395</v>
      </c>
      <c r="H336" s="6" t="s">
        <v>1396</v>
      </c>
      <c r="I336" s="5" t="s">
        <v>1397</v>
      </c>
      <c r="J336" s="11" t="n">
        <v>46298</v>
      </c>
      <c r="K336" s="5" t="s">
        <v>12</v>
      </c>
      <c r="L336" s="15" t="s">
        <v>132</v>
      </c>
      <c r="M336" s="5" t="s">
        <v>133</v>
      </c>
      <c r="N336" s="5" t="s">
        <v>134</v>
      </c>
      <c r="O336" s="15" t="s">
        <v>135</v>
      </c>
      <c r="P336" s="5" t="s">
        <v>1381</v>
      </c>
      <c r="Q336" s="12" t="n">
        <v>1</v>
      </c>
      <c r="R336" s="6" t="s">
        <v>1382</v>
      </c>
      <c r="S336" s="7" t="s">
        <v>1398</v>
      </c>
    </row>
    <row r="337" customFormat="false" ht="23.85" hidden="false" customHeight="false" outlineLevel="0" collapsed="false">
      <c r="A337" s="5" t="s">
        <v>10</v>
      </c>
      <c r="B337" s="5" t="s">
        <v>72</v>
      </c>
      <c r="C337" s="5" t="n">
        <v>12</v>
      </c>
      <c r="D337" s="6" t="s">
        <v>85</v>
      </c>
      <c r="E337" s="5" t="s">
        <v>299</v>
      </c>
      <c r="F337" s="5" t="s">
        <v>1399</v>
      </c>
      <c r="G337" s="6" t="s">
        <v>1400</v>
      </c>
      <c r="H337" s="6" t="s">
        <v>1401</v>
      </c>
      <c r="I337" s="5" t="s">
        <v>1402</v>
      </c>
      <c r="J337" s="11" t="n">
        <v>46302</v>
      </c>
      <c r="K337" s="5" t="s">
        <v>12</v>
      </c>
      <c r="L337" s="15" t="s">
        <v>132</v>
      </c>
      <c r="M337" s="5" t="s">
        <v>133</v>
      </c>
      <c r="N337" s="5" t="s">
        <v>134</v>
      </c>
      <c r="O337" s="15" t="s">
        <v>135</v>
      </c>
      <c r="P337" s="5" t="s">
        <v>1381</v>
      </c>
      <c r="Q337" s="12" t="n">
        <v>1</v>
      </c>
      <c r="R337" s="6" t="s">
        <v>1382</v>
      </c>
      <c r="S337" s="7" t="s">
        <v>1403</v>
      </c>
    </row>
    <row r="338" customFormat="false" ht="23.85" hidden="false" customHeight="false" outlineLevel="0" collapsed="false">
      <c r="A338" s="5" t="s">
        <v>10</v>
      </c>
      <c r="B338" s="5" t="s">
        <v>72</v>
      </c>
      <c r="C338" s="5" t="n">
        <v>12</v>
      </c>
      <c r="D338" s="6" t="s">
        <v>85</v>
      </c>
      <c r="E338" s="5" t="s">
        <v>1404</v>
      </c>
      <c r="F338" s="5" t="s">
        <v>1405</v>
      </c>
      <c r="G338" s="6" t="s">
        <v>1406</v>
      </c>
      <c r="H338" s="6" t="s">
        <v>1407</v>
      </c>
      <c r="I338" s="5" t="s">
        <v>1408</v>
      </c>
      <c r="J338" s="11" t="n">
        <v>46302</v>
      </c>
      <c r="K338" s="5" t="s">
        <v>12</v>
      </c>
      <c r="L338" s="15" t="s">
        <v>132</v>
      </c>
      <c r="M338" s="5" t="s">
        <v>133</v>
      </c>
      <c r="N338" s="5" t="s">
        <v>134</v>
      </c>
      <c r="O338" s="15" t="s">
        <v>135</v>
      </c>
      <c r="P338" s="5" t="s">
        <v>1381</v>
      </c>
      <c r="Q338" s="12" t="n">
        <v>1</v>
      </c>
      <c r="R338" s="6" t="s">
        <v>1382</v>
      </c>
      <c r="S338" s="7" t="s">
        <v>1409</v>
      </c>
    </row>
    <row r="339" customFormat="false" ht="23.85" hidden="false" customHeight="false" outlineLevel="0" collapsed="false">
      <c r="A339" s="5" t="s">
        <v>17</v>
      </c>
      <c r="B339" s="5" t="s">
        <v>86</v>
      </c>
      <c r="C339" s="5" t="n">
        <v>1</v>
      </c>
      <c r="D339" s="6" t="s">
        <v>87</v>
      </c>
      <c r="E339" s="5" t="s">
        <v>1410</v>
      </c>
      <c r="F339" s="5" t="s">
        <v>1411</v>
      </c>
      <c r="G339" s="6" t="s">
        <v>1412</v>
      </c>
      <c r="H339" s="6" t="s">
        <v>1413</v>
      </c>
      <c r="I339" s="5" t="s">
        <v>1414</v>
      </c>
      <c r="J339" s="11" t="n">
        <v>46253</v>
      </c>
      <c r="K339" s="5" t="s">
        <v>19</v>
      </c>
      <c r="L339" s="15" t="s">
        <v>132</v>
      </c>
      <c r="M339" s="5" t="s">
        <v>1415</v>
      </c>
      <c r="N339" s="5" t="s">
        <v>1416</v>
      </c>
      <c r="O339" s="15" t="s">
        <v>135</v>
      </c>
      <c r="P339" s="5" t="s">
        <v>1417</v>
      </c>
      <c r="Q339" s="12" t="n">
        <v>1</v>
      </c>
      <c r="R339" s="6" t="s">
        <v>1382</v>
      </c>
      <c r="S339" s="7" t="s">
        <v>1418</v>
      </c>
    </row>
    <row r="340" customFormat="false" ht="35.05" hidden="false" customHeight="false" outlineLevel="0" collapsed="false">
      <c r="A340" s="5" t="s">
        <v>17</v>
      </c>
      <c r="B340" s="5" t="s">
        <v>86</v>
      </c>
      <c r="C340" s="5" t="n">
        <v>1</v>
      </c>
      <c r="D340" s="6" t="s">
        <v>87</v>
      </c>
      <c r="E340" s="5" t="s">
        <v>1419</v>
      </c>
      <c r="F340" s="5" t="s">
        <v>1420</v>
      </c>
      <c r="G340" s="6" t="s">
        <v>1421</v>
      </c>
      <c r="H340" s="6" t="s">
        <v>1422</v>
      </c>
      <c r="I340" s="5" t="s">
        <v>1423</v>
      </c>
      <c r="J340" s="11" t="n">
        <v>46253</v>
      </c>
      <c r="K340" s="5" t="s">
        <v>19</v>
      </c>
      <c r="L340" s="15" t="s">
        <v>132</v>
      </c>
      <c r="M340" s="5" t="s">
        <v>1415</v>
      </c>
      <c r="N340" s="5" t="s">
        <v>1416</v>
      </c>
      <c r="O340" s="15" t="s">
        <v>135</v>
      </c>
      <c r="P340" s="5" t="s">
        <v>1424</v>
      </c>
      <c r="Q340" s="12" t="n">
        <v>1</v>
      </c>
      <c r="R340" s="6" t="s">
        <v>1382</v>
      </c>
      <c r="S340" s="7" t="s">
        <v>1425</v>
      </c>
    </row>
    <row r="341" customFormat="false" ht="23.85" hidden="false" customHeight="false" outlineLevel="0" collapsed="false">
      <c r="A341" s="5" t="s">
        <v>17</v>
      </c>
      <c r="B341" s="5" t="s">
        <v>86</v>
      </c>
      <c r="C341" s="5" t="n">
        <v>1</v>
      </c>
      <c r="D341" s="6" t="s">
        <v>87</v>
      </c>
      <c r="E341" s="5" t="s">
        <v>1426</v>
      </c>
      <c r="F341" s="5" t="s">
        <v>1427</v>
      </c>
      <c r="G341" s="6" t="s">
        <v>1428</v>
      </c>
      <c r="H341" s="6" t="s">
        <v>1429</v>
      </c>
      <c r="I341" s="5" t="s">
        <v>1423</v>
      </c>
      <c r="J341" s="11" t="n">
        <v>46253</v>
      </c>
      <c r="K341" s="5" t="s">
        <v>19</v>
      </c>
      <c r="L341" s="15" t="s">
        <v>132</v>
      </c>
      <c r="M341" s="5" t="s">
        <v>1415</v>
      </c>
      <c r="N341" s="5" t="s">
        <v>1416</v>
      </c>
      <c r="O341" s="15" t="s">
        <v>135</v>
      </c>
      <c r="P341" s="5" t="s">
        <v>1430</v>
      </c>
      <c r="Q341" s="12" t="n">
        <v>1</v>
      </c>
      <c r="R341" s="6" t="s">
        <v>1382</v>
      </c>
      <c r="S341" s="7" t="s">
        <v>1425</v>
      </c>
    </row>
    <row r="342" customFormat="false" ht="35.05" hidden="false" customHeight="false" outlineLevel="0" collapsed="false">
      <c r="A342" s="5" t="s">
        <v>17</v>
      </c>
      <c r="B342" s="5" t="s">
        <v>86</v>
      </c>
      <c r="C342" s="5" t="n">
        <v>1</v>
      </c>
      <c r="D342" s="6" t="s">
        <v>87</v>
      </c>
      <c r="E342" s="5" t="s">
        <v>1426</v>
      </c>
      <c r="F342" s="5" t="s">
        <v>1431</v>
      </c>
      <c r="G342" s="6" t="s">
        <v>1432</v>
      </c>
      <c r="H342" s="6" t="s">
        <v>1433</v>
      </c>
      <c r="I342" s="5" t="s">
        <v>1423</v>
      </c>
      <c r="J342" s="11" t="n">
        <v>46253</v>
      </c>
      <c r="K342" s="5" t="s">
        <v>19</v>
      </c>
      <c r="L342" s="15" t="s">
        <v>132</v>
      </c>
      <c r="M342" s="5" t="s">
        <v>1415</v>
      </c>
      <c r="N342" s="5" t="s">
        <v>1416</v>
      </c>
      <c r="O342" s="15" t="s">
        <v>135</v>
      </c>
      <c r="P342" s="5" t="s">
        <v>1434</v>
      </c>
      <c r="Q342" s="12" t="n">
        <v>1</v>
      </c>
      <c r="R342" s="6" t="s">
        <v>1382</v>
      </c>
      <c r="S342" s="7" t="s">
        <v>1425</v>
      </c>
    </row>
    <row r="343" customFormat="false" ht="23.85" hidden="false" customHeight="false" outlineLevel="0" collapsed="false">
      <c r="A343" s="5" t="s">
        <v>17</v>
      </c>
      <c r="B343" s="5" t="s">
        <v>86</v>
      </c>
      <c r="C343" s="5" t="n">
        <v>1</v>
      </c>
      <c r="D343" s="6" t="s">
        <v>87</v>
      </c>
      <c r="E343" s="5" t="s">
        <v>1435</v>
      </c>
      <c r="F343" s="5" t="s">
        <v>1436</v>
      </c>
      <c r="G343" s="6" t="s">
        <v>1437</v>
      </c>
      <c r="H343" s="6" t="s">
        <v>1438</v>
      </c>
      <c r="I343" s="5" t="s">
        <v>1423</v>
      </c>
      <c r="J343" s="11" t="n">
        <v>46253</v>
      </c>
      <c r="K343" s="5" t="s">
        <v>19</v>
      </c>
      <c r="L343" s="15" t="s">
        <v>132</v>
      </c>
      <c r="M343" s="5" t="s">
        <v>1415</v>
      </c>
      <c r="N343" s="5" t="s">
        <v>1416</v>
      </c>
      <c r="O343" s="15" t="s">
        <v>135</v>
      </c>
      <c r="P343" s="5" t="s">
        <v>1439</v>
      </c>
      <c r="Q343" s="12" t="n">
        <v>1</v>
      </c>
      <c r="R343" s="6" t="s">
        <v>1382</v>
      </c>
      <c r="S343" s="7" t="s">
        <v>1425</v>
      </c>
    </row>
    <row r="344" customFormat="false" ht="23.85" hidden="false" customHeight="false" outlineLevel="0" collapsed="false">
      <c r="A344" s="5" t="s">
        <v>17</v>
      </c>
      <c r="B344" s="5" t="s">
        <v>86</v>
      </c>
      <c r="C344" s="5" t="n">
        <v>1</v>
      </c>
      <c r="D344" s="6" t="s">
        <v>87</v>
      </c>
      <c r="E344" s="5" t="s">
        <v>1440</v>
      </c>
      <c r="F344" s="5" t="s">
        <v>1441</v>
      </c>
      <c r="G344" s="6" t="s">
        <v>1442</v>
      </c>
      <c r="H344" s="6" t="s">
        <v>1443</v>
      </c>
      <c r="I344" s="5" t="s">
        <v>1423</v>
      </c>
      <c r="J344" s="11" t="n">
        <v>46253</v>
      </c>
      <c r="K344" s="5" t="s">
        <v>19</v>
      </c>
      <c r="L344" s="15" t="s">
        <v>132</v>
      </c>
      <c r="M344" s="5" t="s">
        <v>1415</v>
      </c>
      <c r="N344" s="5" t="s">
        <v>1416</v>
      </c>
      <c r="O344" s="15" t="s">
        <v>135</v>
      </c>
      <c r="P344" s="5" t="s">
        <v>1434</v>
      </c>
      <c r="Q344" s="12" t="n">
        <v>1</v>
      </c>
      <c r="R344" s="6" t="s">
        <v>1382</v>
      </c>
      <c r="S344" s="7" t="s">
        <v>1425</v>
      </c>
    </row>
    <row r="345" customFormat="false" ht="23.85" hidden="false" customHeight="false" outlineLevel="0" collapsed="false">
      <c r="A345" s="5" t="s">
        <v>17</v>
      </c>
      <c r="B345" s="5" t="s">
        <v>86</v>
      </c>
      <c r="C345" s="5" t="n">
        <v>1</v>
      </c>
      <c r="D345" s="6" t="s">
        <v>87</v>
      </c>
      <c r="E345" s="5" t="s">
        <v>1444</v>
      </c>
      <c r="F345" s="5" t="s">
        <v>1445</v>
      </c>
      <c r="G345" s="6" t="s">
        <v>1446</v>
      </c>
      <c r="H345" s="6" t="s">
        <v>1447</v>
      </c>
      <c r="I345" s="5" t="s">
        <v>1423</v>
      </c>
      <c r="J345" s="11" t="n">
        <v>46253</v>
      </c>
      <c r="K345" s="5" t="s">
        <v>19</v>
      </c>
      <c r="L345" s="15" t="s">
        <v>132</v>
      </c>
      <c r="M345" s="5" t="s">
        <v>1415</v>
      </c>
      <c r="N345" s="5" t="s">
        <v>1416</v>
      </c>
      <c r="O345" s="15" t="s">
        <v>135</v>
      </c>
      <c r="P345" s="5" t="s">
        <v>1448</v>
      </c>
      <c r="Q345" s="12" t="n">
        <v>1</v>
      </c>
      <c r="R345" s="6" t="s">
        <v>1382</v>
      </c>
      <c r="S345" s="7" t="s">
        <v>1425</v>
      </c>
    </row>
    <row r="346" customFormat="false" ht="23.85" hidden="false" customHeight="false" outlineLevel="0" collapsed="false">
      <c r="A346" s="5" t="s">
        <v>17</v>
      </c>
      <c r="B346" s="5" t="s">
        <v>86</v>
      </c>
      <c r="C346" s="5" t="n">
        <v>1</v>
      </c>
      <c r="D346" s="6" t="s">
        <v>87</v>
      </c>
      <c r="E346" s="5" t="s">
        <v>1449</v>
      </c>
      <c r="F346" s="5" t="s">
        <v>1450</v>
      </c>
      <c r="G346" s="6" t="s">
        <v>1451</v>
      </c>
      <c r="H346" s="6" t="s">
        <v>1452</v>
      </c>
      <c r="I346" s="5" t="s">
        <v>1423</v>
      </c>
      <c r="J346" s="11" t="n">
        <v>46253</v>
      </c>
      <c r="K346" s="5" t="s">
        <v>19</v>
      </c>
      <c r="L346" s="15" t="s">
        <v>132</v>
      </c>
      <c r="M346" s="5" t="s">
        <v>1415</v>
      </c>
      <c r="N346" s="5" t="s">
        <v>1416</v>
      </c>
      <c r="O346" s="15" t="s">
        <v>135</v>
      </c>
      <c r="P346" s="5" t="s">
        <v>1453</v>
      </c>
      <c r="Q346" s="12" t="n">
        <v>1</v>
      </c>
      <c r="R346" s="6" t="s">
        <v>1454</v>
      </c>
      <c r="S346" s="7" t="s">
        <v>1425</v>
      </c>
    </row>
    <row r="347" customFormat="false" ht="23.85" hidden="false" customHeight="false" outlineLevel="0" collapsed="false">
      <c r="A347" s="5" t="s">
        <v>17</v>
      </c>
      <c r="B347" s="5" t="s">
        <v>86</v>
      </c>
      <c r="C347" s="5" t="n">
        <v>1</v>
      </c>
      <c r="D347" s="6" t="s">
        <v>87</v>
      </c>
      <c r="E347" s="5" t="s">
        <v>1455</v>
      </c>
      <c r="F347" s="5" t="s">
        <v>1456</v>
      </c>
      <c r="G347" s="6" t="s">
        <v>1457</v>
      </c>
      <c r="H347" s="6" t="s">
        <v>1458</v>
      </c>
      <c r="I347" s="5" t="s">
        <v>1423</v>
      </c>
      <c r="J347" s="11" t="n">
        <v>46253</v>
      </c>
      <c r="K347" s="5" t="s">
        <v>19</v>
      </c>
      <c r="L347" s="15" t="s">
        <v>132</v>
      </c>
      <c r="M347" s="5" t="s">
        <v>1415</v>
      </c>
      <c r="N347" s="5" t="s">
        <v>1416</v>
      </c>
      <c r="O347" s="15" t="s">
        <v>135</v>
      </c>
      <c r="P347" s="5" t="s">
        <v>1439</v>
      </c>
      <c r="Q347" s="12" t="n">
        <v>1</v>
      </c>
      <c r="R347" s="6" t="s">
        <v>1382</v>
      </c>
      <c r="S347" s="7" t="s">
        <v>1425</v>
      </c>
    </row>
    <row r="348" customFormat="false" ht="23.85" hidden="false" customHeight="false" outlineLevel="0" collapsed="false">
      <c r="A348" s="5" t="s">
        <v>17</v>
      </c>
      <c r="B348" s="5" t="s">
        <v>86</v>
      </c>
      <c r="C348" s="5" t="n">
        <v>1</v>
      </c>
      <c r="D348" s="6" t="s">
        <v>87</v>
      </c>
      <c r="E348" s="5" t="s">
        <v>1459</v>
      </c>
      <c r="F348" s="5" t="s">
        <v>1460</v>
      </c>
      <c r="G348" s="6" t="s">
        <v>1461</v>
      </c>
      <c r="H348" s="6" t="s">
        <v>1462</v>
      </c>
      <c r="I348" s="5" t="s">
        <v>1463</v>
      </c>
      <c r="J348" s="11" t="n">
        <v>46253</v>
      </c>
      <c r="K348" s="5" t="s">
        <v>19</v>
      </c>
      <c r="L348" s="15" t="s">
        <v>132</v>
      </c>
      <c r="M348" s="5" t="s">
        <v>1415</v>
      </c>
      <c r="N348" s="5" t="s">
        <v>1416</v>
      </c>
      <c r="O348" s="15" t="s">
        <v>135</v>
      </c>
      <c r="P348" s="5" t="s">
        <v>1417</v>
      </c>
      <c r="Q348" s="12" t="n">
        <v>1</v>
      </c>
      <c r="R348" s="6" t="s">
        <v>1382</v>
      </c>
      <c r="S348" s="7" t="s">
        <v>1464</v>
      </c>
    </row>
    <row r="349" customFormat="false" ht="35.05" hidden="false" customHeight="false" outlineLevel="0" collapsed="false">
      <c r="A349" s="5" t="s">
        <v>17</v>
      </c>
      <c r="B349" s="5" t="s">
        <v>86</v>
      </c>
      <c r="C349" s="5" t="n">
        <v>2</v>
      </c>
      <c r="D349" s="6" t="s">
        <v>88</v>
      </c>
      <c r="E349" s="5" t="s">
        <v>1465</v>
      </c>
      <c r="F349" s="5" t="s">
        <v>1466</v>
      </c>
      <c r="G349" s="6" t="s">
        <v>1467</v>
      </c>
      <c r="H349" s="6" t="s">
        <v>1468</v>
      </c>
      <c r="I349" s="5" t="s">
        <v>1402</v>
      </c>
      <c r="J349" s="11" t="n">
        <v>46254</v>
      </c>
      <c r="K349" s="5" t="s">
        <v>19</v>
      </c>
      <c r="L349" s="15" t="s">
        <v>132</v>
      </c>
      <c r="M349" s="5" t="s">
        <v>1415</v>
      </c>
      <c r="N349" s="5" t="s">
        <v>1416</v>
      </c>
      <c r="O349" s="15" t="s">
        <v>135</v>
      </c>
      <c r="P349" s="5" t="s">
        <v>1417</v>
      </c>
      <c r="Q349" s="12" t="n">
        <v>1</v>
      </c>
      <c r="R349" s="6" t="s">
        <v>1382</v>
      </c>
      <c r="S349" s="7" t="s">
        <v>1469</v>
      </c>
    </row>
    <row r="350" customFormat="false" ht="35.05" hidden="false" customHeight="false" outlineLevel="0" collapsed="false">
      <c r="A350" s="5" t="s">
        <v>17</v>
      </c>
      <c r="B350" s="5" t="s">
        <v>86</v>
      </c>
      <c r="C350" s="5" t="n">
        <v>2</v>
      </c>
      <c r="D350" s="6" t="s">
        <v>88</v>
      </c>
      <c r="E350" s="5" t="s">
        <v>1455</v>
      </c>
      <c r="F350" s="5" t="s">
        <v>1470</v>
      </c>
      <c r="G350" s="6" t="s">
        <v>1471</v>
      </c>
      <c r="H350" s="6" t="s">
        <v>1472</v>
      </c>
      <c r="I350" s="5" t="s">
        <v>1473</v>
      </c>
      <c r="J350" s="11" t="n">
        <v>46254</v>
      </c>
      <c r="K350" s="5" t="s">
        <v>19</v>
      </c>
      <c r="L350" s="15" t="s">
        <v>132</v>
      </c>
      <c r="M350" s="5" t="s">
        <v>1415</v>
      </c>
      <c r="N350" s="5" t="s">
        <v>1416</v>
      </c>
      <c r="O350" s="15" t="s">
        <v>135</v>
      </c>
      <c r="P350" s="5" t="s">
        <v>1474</v>
      </c>
      <c r="Q350" s="12" t="n">
        <v>1</v>
      </c>
      <c r="R350" s="6" t="s">
        <v>1382</v>
      </c>
      <c r="S350" s="7" t="s">
        <v>1475</v>
      </c>
    </row>
    <row r="351" customFormat="false" ht="35.05" hidden="false" customHeight="false" outlineLevel="0" collapsed="false">
      <c r="A351" s="5" t="s">
        <v>17</v>
      </c>
      <c r="B351" s="5" t="s">
        <v>86</v>
      </c>
      <c r="C351" s="5" t="n">
        <v>2</v>
      </c>
      <c r="D351" s="6" t="s">
        <v>88</v>
      </c>
      <c r="E351" s="5" t="s">
        <v>1426</v>
      </c>
      <c r="F351" s="5" t="s">
        <v>1476</v>
      </c>
      <c r="G351" s="6" t="s">
        <v>1477</v>
      </c>
      <c r="H351" s="6" t="s">
        <v>1478</v>
      </c>
      <c r="I351" s="5" t="s">
        <v>1479</v>
      </c>
      <c r="J351" s="11" t="n">
        <v>46254</v>
      </c>
      <c r="K351" s="5" t="s">
        <v>19</v>
      </c>
      <c r="L351" s="15" t="s">
        <v>132</v>
      </c>
      <c r="M351" s="5" t="s">
        <v>1415</v>
      </c>
      <c r="N351" s="5" t="s">
        <v>1416</v>
      </c>
      <c r="O351" s="15" t="s">
        <v>135</v>
      </c>
      <c r="P351" s="5" t="s">
        <v>1480</v>
      </c>
      <c r="Q351" s="12" t="n">
        <v>1</v>
      </c>
      <c r="R351" s="6" t="s">
        <v>1382</v>
      </c>
      <c r="S351" s="7" t="s">
        <v>1481</v>
      </c>
    </row>
    <row r="352" customFormat="false" ht="35.05" hidden="false" customHeight="false" outlineLevel="0" collapsed="false">
      <c r="A352" s="5" t="s">
        <v>17</v>
      </c>
      <c r="B352" s="5" t="s">
        <v>86</v>
      </c>
      <c r="C352" s="5" t="n">
        <v>2</v>
      </c>
      <c r="D352" s="6" t="s">
        <v>88</v>
      </c>
      <c r="E352" s="5" t="s">
        <v>1444</v>
      </c>
      <c r="F352" s="5" t="s">
        <v>1482</v>
      </c>
      <c r="G352" s="6" t="s">
        <v>1483</v>
      </c>
      <c r="H352" s="6" t="s">
        <v>1484</v>
      </c>
      <c r="I352" s="5" t="s">
        <v>1485</v>
      </c>
      <c r="J352" s="11" t="n">
        <v>46254</v>
      </c>
      <c r="K352" s="5" t="s">
        <v>19</v>
      </c>
      <c r="L352" s="15" t="s">
        <v>132</v>
      </c>
      <c r="M352" s="5" t="s">
        <v>1415</v>
      </c>
      <c r="N352" s="5" t="s">
        <v>1416</v>
      </c>
      <c r="O352" s="15" t="s">
        <v>135</v>
      </c>
      <c r="P352" s="5" t="s">
        <v>1486</v>
      </c>
      <c r="Q352" s="12" t="n">
        <v>1</v>
      </c>
      <c r="R352" s="6" t="s">
        <v>1382</v>
      </c>
      <c r="S352" s="7" t="s">
        <v>1487</v>
      </c>
    </row>
    <row r="353" customFormat="false" ht="35.05" hidden="false" customHeight="false" outlineLevel="0" collapsed="false">
      <c r="A353" s="5" t="s">
        <v>17</v>
      </c>
      <c r="B353" s="5" t="s">
        <v>86</v>
      </c>
      <c r="C353" s="5" t="n">
        <v>3</v>
      </c>
      <c r="D353" s="6" t="s">
        <v>89</v>
      </c>
      <c r="E353" s="5" t="s">
        <v>1038</v>
      </c>
      <c r="F353" s="5" t="s">
        <v>1488</v>
      </c>
      <c r="G353" s="6" t="s">
        <v>1489</v>
      </c>
      <c r="H353" s="6" t="s">
        <v>1490</v>
      </c>
      <c r="I353" s="5" t="s">
        <v>1491</v>
      </c>
      <c r="J353" s="11" t="n">
        <v>46255</v>
      </c>
      <c r="K353" s="5" t="s">
        <v>19</v>
      </c>
      <c r="L353" s="15" t="s">
        <v>132</v>
      </c>
      <c r="M353" s="5" t="s">
        <v>1415</v>
      </c>
      <c r="N353" s="5" t="s">
        <v>1416</v>
      </c>
      <c r="O353" s="15" t="s">
        <v>135</v>
      </c>
      <c r="P353" s="5" t="s">
        <v>1492</v>
      </c>
      <c r="Q353" s="12" t="n">
        <v>1</v>
      </c>
      <c r="R353" s="6" t="s">
        <v>1382</v>
      </c>
      <c r="S353" s="7" t="s">
        <v>1493</v>
      </c>
    </row>
    <row r="354" customFormat="false" ht="23.85" hidden="false" customHeight="false" outlineLevel="0" collapsed="false">
      <c r="A354" s="5" t="s">
        <v>17</v>
      </c>
      <c r="B354" s="5" t="s">
        <v>86</v>
      </c>
      <c r="C354" s="5" t="n">
        <v>3</v>
      </c>
      <c r="D354" s="6" t="s">
        <v>89</v>
      </c>
      <c r="E354" s="5" t="s">
        <v>1410</v>
      </c>
      <c r="F354" s="5" t="s">
        <v>1494</v>
      </c>
      <c r="G354" s="6" t="s">
        <v>1495</v>
      </c>
      <c r="H354" s="6" t="s">
        <v>1496</v>
      </c>
      <c r="I354" s="5" t="s">
        <v>1497</v>
      </c>
      <c r="J354" s="11" t="n">
        <v>46257</v>
      </c>
      <c r="K354" s="5" t="s">
        <v>19</v>
      </c>
      <c r="L354" s="15" t="s">
        <v>132</v>
      </c>
      <c r="M354" s="5" t="s">
        <v>1415</v>
      </c>
      <c r="N354" s="5" t="s">
        <v>1416</v>
      </c>
      <c r="O354" s="15" t="s">
        <v>135</v>
      </c>
      <c r="P354" s="5" t="s">
        <v>1417</v>
      </c>
      <c r="Q354" s="12" t="n">
        <v>1</v>
      </c>
      <c r="R354" s="6" t="s">
        <v>1382</v>
      </c>
      <c r="S354" s="7" t="s">
        <v>1498</v>
      </c>
    </row>
    <row r="355" customFormat="false" ht="23.85" hidden="false" customHeight="false" outlineLevel="0" collapsed="false">
      <c r="A355" s="5" t="s">
        <v>17</v>
      </c>
      <c r="B355" s="5" t="s">
        <v>86</v>
      </c>
      <c r="C355" s="5" t="n">
        <v>3</v>
      </c>
      <c r="D355" s="6" t="s">
        <v>89</v>
      </c>
      <c r="E355" s="5" t="s">
        <v>1499</v>
      </c>
      <c r="F355" s="5" t="s">
        <v>1500</v>
      </c>
      <c r="G355" s="6" t="s">
        <v>1501</v>
      </c>
      <c r="H355" s="6" t="s">
        <v>1502</v>
      </c>
      <c r="I355" s="5" t="s">
        <v>1503</v>
      </c>
      <c r="J355" s="11" t="n">
        <v>46257</v>
      </c>
      <c r="K355" s="5" t="s">
        <v>19</v>
      </c>
      <c r="L355" s="15" t="s">
        <v>132</v>
      </c>
      <c r="M355" s="5" t="s">
        <v>1415</v>
      </c>
      <c r="N355" s="5" t="s">
        <v>1416</v>
      </c>
      <c r="O355" s="15" t="s">
        <v>135</v>
      </c>
      <c r="P355" s="5" t="s">
        <v>1504</v>
      </c>
      <c r="Q355" s="12" t="n">
        <v>1</v>
      </c>
      <c r="R355" s="6" t="s">
        <v>1505</v>
      </c>
      <c r="S355" s="7" t="s">
        <v>1506</v>
      </c>
    </row>
    <row r="356" customFormat="false" ht="23.85" hidden="false" customHeight="false" outlineLevel="0" collapsed="false">
      <c r="A356" s="5" t="s">
        <v>17</v>
      </c>
      <c r="B356" s="5" t="s">
        <v>86</v>
      </c>
      <c r="C356" s="5" t="n">
        <v>3</v>
      </c>
      <c r="D356" s="6" t="s">
        <v>89</v>
      </c>
      <c r="E356" s="5" t="s">
        <v>1507</v>
      </c>
      <c r="F356" s="5" t="s">
        <v>1508</v>
      </c>
      <c r="G356" s="6" t="s">
        <v>1509</v>
      </c>
      <c r="H356" s="6" t="s">
        <v>1510</v>
      </c>
      <c r="I356" s="5" t="s">
        <v>1511</v>
      </c>
      <c r="J356" s="11" t="n">
        <v>46258</v>
      </c>
      <c r="K356" s="5" t="s">
        <v>19</v>
      </c>
      <c r="L356" s="15" t="s">
        <v>132</v>
      </c>
      <c r="M356" s="5" t="s">
        <v>1415</v>
      </c>
      <c r="N356" s="5" t="s">
        <v>1416</v>
      </c>
      <c r="O356" s="15" t="s">
        <v>135</v>
      </c>
      <c r="P356" s="5" t="s">
        <v>1417</v>
      </c>
      <c r="Q356" s="12" t="n">
        <v>1</v>
      </c>
      <c r="R356" s="6" t="s">
        <v>1382</v>
      </c>
      <c r="S356" s="7" t="s">
        <v>1512</v>
      </c>
    </row>
    <row r="357" customFormat="false" ht="23.85" hidden="false" customHeight="false" outlineLevel="0" collapsed="false">
      <c r="A357" s="5" t="s">
        <v>17</v>
      </c>
      <c r="B357" s="5" t="s">
        <v>86</v>
      </c>
      <c r="C357" s="5" t="n">
        <v>3</v>
      </c>
      <c r="D357" s="6" t="s">
        <v>89</v>
      </c>
      <c r="E357" s="5" t="s">
        <v>1038</v>
      </c>
      <c r="F357" s="5" t="s">
        <v>1513</v>
      </c>
      <c r="G357" s="6" t="s">
        <v>1514</v>
      </c>
      <c r="H357" s="6" t="s">
        <v>1515</v>
      </c>
      <c r="I357" s="5" t="s">
        <v>1516</v>
      </c>
      <c r="J357" s="11" t="n">
        <v>46259</v>
      </c>
      <c r="K357" s="5" t="s">
        <v>19</v>
      </c>
      <c r="L357" s="15" t="s">
        <v>132</v>
      </c>
      <c r="M357" s="5" t="s">
        <v>1415</v>
      </c>
      <c r="N357" s="5" t="s">
        <v>1416</v>
      </c>
      <c r="O357" s="15" t="s">
        <v>135</v>
      </c>
      <c r="P357" s="5" t="s">
        <v>1517</v>
      </c>
      <c r="Q357" s="12" t="n">
        <v>1</v>
      </c>
      <c r="R357" s="6" t="s">
        <v>1518</v>
      </c>
      <c r="S357" s="7" t="s">
        <v>1519</v>
      </c>
    </row>
    <row r="358" customFormat="false" ht="23.85" hidden="false" customHeight="false" outlineLevel="0" collapsed="false">
      <c r="A358" s="5" t="s">
        <v>17</v>
      </c>
      <c r="B358" s="5" t="s">
        <v>86</v>
      </c>
      <c r="C358" s="5" t="n">
        <v>3</v>
      </c>
      <c r="D358" s="6" t="s">
        <v>89</v>
      </c>
      <c r="E358" s="5" t="s">
        <v>1038</v>
      </c>
      <c r="F358" s="5" t="s">
        <v>1520</v>
      </c>
      <c r="G358" s="6" t="s">
        <v>1521</v>
      </c>
      <c r="H358" s="6" t="s">
        <v>1522</v>
      </c>
      <c r="I358" s="5" t="s">
        <v>1523</v>
      </c>
      <c r="J358" s="11" t="n">
        <v>46260</v>
      </c>
      <c r="K358" s="5" t="s">
        <v>19</v>
      </c>
      <c r="L358" s="15" t="s">
        <v>132</v>
      </c>
      <c r="M358" s="5" t="s">
        <v>1415</v>
      </c>
      <c r="N358" s="5" t="s">
        <v>1416</v>
      </c>
      <c r="O358" s="15" t="s">
        <v>135</v>
      </c>
      <c r="P358" s="5" t="s">
        <v>1417</v>
      </c>
      <c r="Q358" s="12" t="n">
        <v>1</v>
      </c>
      <c r="R358" s="6" t="s">
        <v>1382</v>
      </c>
      <c r="S358" s="7" t="s">
        <v>1524</v>
      </c>
    </row>
    <row r="359" customFormat="false" ht="23.85" hidden="false" customHeight="false" outlineLevel="0" collapsed="false">
      <c r="A359" s="5" t="s">
        <v>17</v>
      </c>
      <c r="B359" s="5" t="s">
        <v>86</v>
      </c>
      <c r="C359" s="5" t="n">
        <v>4</v>
      </c>
      <c r="D359" s="6" t="s">
        <v>90</v>
      </c>
      <c r="E359" s="5" t="s">
        <v>1525</v>
      </c>
      <c r="F359" s="5" t="s">
        <v>1526</v>
      </c>
      <c r="G359" s="6" t="s">
        <v>1527</v>
      </c>
      <c r="H359" s="6" t="s">
        <v>1528</v>
      </c>
      <c r="I359" s="5" t="s">
        <v>1529</v>
      </c>
      <c r="J359" s="11" t="n">
        <v>46258</v>
      </c>
      <c r="K359" s="5" t="s">
        <v>19</v>
      </c>
      <c r="L359" s="15" t="s">
        <v>132</v>
      </c>
      <c r="M359" s="5" t="s">
        <v>1415</v>
      </c>
      <c r="N359" s="5" t="s">
        <v>1416</v>
      </c>
      <c r="O359" s="15" t="s">
        <v>135</v>
      </c>
      <c r="P359" s="5" t="s">
        <v>1530</v>
      </c>
      <c r="Q359" s="12" t="n">
        <v>1</v>
      </c>
      <c r="R359" s="6" t="s">
        <v>1531</v>
      </c>
      <c r="S359" s="7" t="s">
        <v>1532</v>
      </c>
    </row>
    <row r="360" customFormat="false" ht="15" hidden="false" customHeight="false" outlineLevel="0" collapsed="false">
      <c r="A360" s="5" t="s">
        <v>17</v>
      </c>
      <c r="B360" s="5" t="s">
        <v>86</v>
      </c>
      <c r="C360" s="5" t="n">
        <v>4</v>
      </c>
      <c r="D360" s="6" t="s">
        <v>90</v>
      </c>
      <c r="E360" s="5" t="s">
        <v>1525</v>
      </c>
      <c r="F360" s="5" t="s">
        <v>1533</v>
      </c>
      <c r="G360" s="6" t="s">
        <v>1534</v>
      </c>
      <c r="H360" s="6" t="s">
        <v>1535</v>
      </c>
      <c r="I360" s="5" t="s">
        <v>1536</v>
      </c>
      <c r="J360" s="11" t="n">
        <v>46258</v>
      </c>
      <c r="K360" s="5" t="s">
        <v>19</v>
      </c>
      <c r="L360" s="15" t="s">
        <v>132</v>
      </c>
      <c r="M360" s="5" t="s">
        <v>1415</v>
      </c>
      <c r="N360" s="5" t="s">
        <v>1416</v>
      </c>
      <c r="O360" s="15" t="s">
        <v>135</v>
      </c>
      <c r="P360" s="5" t="s">
        <v>1537</v>
      </c>
      <c r="Q360" s="12" t="n">
        <v>1</v>
      </c>
      <c r="R360" s="6" t="s">
        <v>1382</v>
      </c>
      <c r="S360" s="7" t="s">
        <v>1538</v>
      </c>
    </row>
    <row r="361" customFormat="false" ht="23.85" hidden="false" customHeight="false" outlineLevel="0" collapsed="false">
      <c r="A361" s="5" t="s">
        <v>17</v>
      </c>
      <c r="B361" s="5" t="s">
        <v>86</v>
      </c>
      <c r="C361" s="5" t="n">
        <v>4</v>
      </c>
      <c r="D361" s="6" t="s">
        <v>90</v>
      </c>
      <c r="E361" s="5" t="s">
        <v>1525</v>
      </c>
      <c r="F361" s="5" t="s">
        <v>1539</v>
      </c>
      <c r="G361" s="6" t="s">
        <v>1540</v>
      </c>
      <c r="H361" s="6" t="s">
        <v>1541</v>
      </c>
      <c r="I361" s="5" t="s">
        <v>1542</v>
      </c>
      <c r="J361" s="11" t="n">
        <v>46258</v>
      </c>
      <c r="K361" s="5" t="s">
        <v>19</v>
      </c>
      <c r="L361" s="15" t="s">
        <v>132</v>
      </c>
      <c r="M361" s="5" t="s">
        <v>1415</v>
      </c>
      <c r="N361" s="5" t="s">
        <v>1416</v>
      </c>
      <c r="O361" s="15" t="s">
        <v>135</v>
      </c>
      <c r="P361" s="5" t="s">
        <v>1543</v>
      </c>
      <c r="Q361" s="12" t="n">
        <v>1</v>
      </c>
      <c r="R361" s="6" t="s">
        <v>1382</v>
      </c>
      <c r="S361" s="7" t="s">
        <v>1544</v>
      </c>
    </row>
    <row r="362" customFormat="false" ht="23.85" hidden="false" customHeight="false" outlineLevel="0" collapsed="false">
      <c r="A362" s="5" t="s">
        <v>17</v>
      </c>
      <c r="B362" s="5" t="s">
        <v>86</v>
      </c>
      <c r="C362" s="5" t="n">
        <v>4</v>
      </c>
      <c r="D362" s="6" t="s">
        <v>90</v>
      </c>
      <c r="E362" s="5" t="s">
        <v>1435</v>
      </c>
      <c r="F362" s="5" t="s">
        <v>1545</v>
      </c>
      <c r="G362" s="6" t="s">
        <v>1546</v>
      </c>
      <c r="H362" s="6" t="s">
        <v>1547</v>
      </c>
      <c r="I362" s="5" t="s">
        <v>1548</v>
      </c>
      <c r="J362" s="11" t="n">
        <v>46259</v>
      </c>
      <c r="K362" s="5" t="s">
        <v>19</v>
      </c>
      <c r="L362" s="15" t="s">
        <v>132</v>
      </c>
      <c r="M362" s="5" t="s">
        <v>1415</v>
      </c>
      <c r="N362" s="5" t="s">
        <v>1416</v>
      </c>
      <c r="O362" s="15" t="s">
        <v>135</v>
      </c>
      <c r="P362" s="5" t="s">
        <v>1417</v>
      </c>
      <c r="Q362" s="12" t="n">
        <v>1</v>
      </c>
      <c r="R362" s="6" t="s">
        <v>1382</v>
      </c>
      <c r="S362" s="7" t="s">
        <v>1549</v>
      </c>
    </row>
    <row r="363" customFormat="false" ht="35.05" hidden="false" customHeight="false" outlineLevel="0" collapsed="false">
      <c r="A363" s="5" t="s">
        <v>17</v>
      </c>
      <c r="B363" s="5" t="s">
        <v>86</v>
      </c>
      <c r="C363" s="5" t="n">
        <v>5</v>
      </c>
      <c r="D363" s="6" t="s">
        <v>91</v>
      </c>
      <c r="E363" s="5" t="s">
        <v>1507</v>
      </c>
      <c r="F363" s="5" t="s">
        <v>1550</v>
      </c>
      <c r="G363" s="6" t="s">
        <v>1551</v>
      </c>
      <c r="H363" s="6" t="s">
        <v>1552</v>
      </c>
      <c r="I363" s="5" t="s">
        <v>1379</v>
      </c>
      <c r="J363" s="11" t="n">
        <v>46297</v>
      </c>
      <c r="K363" s="5" t="s">
        <v>19</v>
      </c>
      <c r="L363" s="15" t="s">
        <v>132</v>
      </c>
      <c r="M363" s="5" t="s">
        <v>1415</v>
      </c>
      <c r="N363" s="5" t="s">
        <v>1416</v>
      </c>
      <c r="O363" s="15" t="s">
        <v>135</v>
      </c>
      <c r="P363" s="5" t="s">
        <v>1553</v>
      </c>
      <c r="Q363" s="12" t="n">
        <v>1</v>
      </c>
      <c r="R363" s="6" t="s">
        <v>1382</v>
      </c>
      <c r="S363" s="7" t="s">
        <v>1554</v>
      </c>
    </row>
    <row r="364" customFormat="false" ht="23.85" hidden="false" customHeight="false" outlineLevel="0" collapsed="false">
      <c r="A364" s="5" t="s">
        <v>17</v>
      </c>
      <c r="B364" s="5" t="s">
        <v>86</v>
      </c>
      <c r="C364" s="5" t="n">
        <v>5</v>
      </c>
      <c r="D364" s="6" t="s">
        <v>91</v>
      </c>
      <c r="E364" s="5" t="s">
        <v>307</v>
      </c>
      <c r="F364" s="5" t="s">
        <v>1555</v>
      </c>
      <c r="G364" s="6" t="s">
        <v>1556</v>
      </c>
      <c r="H364" s="6" t="s">
        <v>1557</v>
      </c>
      <c r="I364" s="5" t="s">
        <v>1558</v>
      </c>
      <c r="J364" s="11" t="n">
        <v>46297</v>
      </c>
      <c r="K364" s="5" t="s">
        <v>19</v>
      </c>
      <c r="L364" s="15" t="s">
        <v>132</v>
      </c>
      <c r="M364" s="5" t="s">
        <v>1415</v>
      </c>
      <c r="N364" s="5" t="s">
        <v>1416</v>
      </c>
      <c r="O364" s="15" t="s">
        <v>135</v>
      </c>
      <c r="P364" s="5" t="s">
        <v>1559</v>
      </c>
      <c r="Q364" s="12" t="n">
        <v>1</v>
      </c>
      <c r="R364" s="6" t="s">
        <v>1560</v>
      </c>
      <c r="S364" s="7" t="s">
        <v>1561</v>
      </c>
    </row>
    <row r="365" customFormat="false" ht="23.85" hidden="false" customHeight="false" outlineLevel="0" collapsed="false">
      <c r="A365" s="5" t="s">
        <v>17</v>
      </c>
      <c r="B365" s="5" t="s">
        <v>86</v>
      </c>
      <c r="C365" s="5" t="n">
        <v>6</v>
      </c>
      <c r="D365" s="6" t="s">
        <v>92</v>
      </c>
      <c r="E365" s="5" t="s">
        <v>299</v>
      </c>
      <c r="F365" s="5" t="s">
        <v>1562</v>
      </c>
      <c r="G365" s="6" t="s">
        <v>1563</v>
      </c>
      <c r="H365" s="6" t="s">
        <v>1564</v>
      </c>
      <c r="I365" s="5" t="s">
        <v>1565</v>
      </c>
      <c r="J365" s="11" t="n">
        <v>46303</v>
      </c>
      <c r="K365" s="5" t="s">
        <v>1566</v>
      </c>
      <c r="L365" s="15" t="s">
        <v>132</v>
      </c>
      <c r="M365" s="5" t="s">
        <v>1415</v>
      </c>
      <c r="N365" s="5" t="s">
        <v>1416</v>
      </c>
      <c r="O365" s="15" t="s">
        <v>135</v>
      </c>
      <c r="P365" s="5" t="s">
        <v>1567</v>
      </c>
      <c r="Q365" s="12" t="n">
        <v>1</v>
      </c>
      <c r="R365" s="6" t="s">
        <v>1382</v>
      </c>
      <c r="S365" s="7" t="s">
        <v>1568</v>
      </c>
    </row>
    <row r="366" customFormat="false" ht="23.85" hidden="false" customHeight="false" outlineLevel="0" collapsed="false">
      <c r="A366" s="5" t="s">
        <v>17</v>
      </c>
      <c r="B366" s="5" t="s">
        <v>86</v>
      </c>
      <c r="C366" s="5" t="n">
        <v>6</v>
      </c>
      <c r="D366" s="6" t="s">
        <v>92</v>
      </c>
      <c r="E366" s="5" t="s">
        <v>1569</v>
      </c>
      <c r="F366" s="5" t="s">
        <v>1570</v>
      </c>
      <c r="G366" s="6" t="s">
        <v>1571</v>
      </c>
      <c r="H366" s="6" t="s">
        <v>1572</v>
      </c>
      <c r="I366" s="5" t="s">
        <v>1565</v>
      </c>
      <c r="J366" s="11" t="n">
        <v>46303</v>
      </c>
      <c r="K366" s="5" t="s">
        <v>1566</v>
      </c>
      <c r="L366" s="15" t="s">
        <v>132</v>
      </c>
      <c r="M366" s="5" t="s">
        <v>1415</v>
      </c>
      <c r="N366" s="5" t="s">
        <v>1416</v>
      </c>
      <c r="O366" s="15" t="s">
        <v>135</v>
      </c>
      <c r="P366" s="5" t="s">
        <v>1567</v>
      </c>
      <c r="Q366" s="12" t="n">
        <v>1</v>
      </c>
      <c r="R366" s="6" t="s">
        <v>1382</v>
      </c>
      <c r="S366" s="7" t="s">
        <v>1568</v>
      </c>
    </row>
    <row r="367" customFormat="false" ht="23.85" hidden="false" customHeight="false" outlineLevel="0" collapsed="false">
      <c r="A367" s="5" t="s">
        <v>17</v>
      </c>
      <c r="B367" s="5" t="s">
        <v>86</v>
      </c>
      <c r="C367" s="5" t="n">
        <v>6</v>
      </c>
      <c r="D367" s="6" t="s">
        <v>92</v>
      </c>
      <c r="E367" s="5" t="s">
        <v>1410</v>
      </c>
      <c r="F367" s="5" t="s">
        <v>1573</v>
      </c>
      <c r="G367" s="6" t="s">
        <v>1574</v>
      </c>
      <c r="H367" s="6" t="s">
        <v>1575</v>
      </c>
      <c r="I367" s="5" t="s">
        <v>1565</v>
      </c>
      <c r="J367" s="11" t="n">
        <v>46303</v>
      </c>
      <c r="K367" s="5" t="s">
        <v>1566</v>
      </c>
      <c r="L367" s="15" t="s">
        <v>132</v>
      </c>
      <c r="M367" s="5" t="s">
        <v>1415</v>
      </c>
      <c r="N367" s="5" t="s">
        <v>1416</v>
      </c>
      <c r="O367" s="15" t="s">
        <v>135</v>
      </c>
      <c r="P367" s="5" t="s">
        <v>1567</v>
      </c>
      <c r="Q367" s="12" t="n">
        <v>1</v>
      </c>
      <c r="R367" s="6" t="s">
        <v>1382</v>
      </c>
      <c r="S367" s="7" t="s">
        <v>1568</v>
      </c>
    </row>
    <row r="368" customFormat="false" ht="23.85" hidden="false" customHeight="false" outlineLevel="0" collapsed="false">
      <c r="A368" s="5" t="s">
        <v>17</v>
      </c>
      <c r="B368" s="5" t="s">
        <v>86</v>
      </c>
      <c r="C368" s="5" t="n">
        <v>6</v>
      </c>
      <c r="D368" s="6" t="s">
        <v>92</v>
      </c>
      <c r="E368" s="5" t="s">
        <v>1404</v>
      </c>
      <c r="F368" s="5" t="s">
        <v>1576</v>
      </c>
      <c r="G368" s="6" t="s">
        <v>1577</v>
      </c>
      <c r="H368" s="6" t="s">
        <v>1578</v>
      </c>
      <c r="I368" s="5" t="s">
        <v>1579</v>
      </c>
      <c r="J368" s="11" t="n">
        <v>46303</v>
      </c>
      <c r="K368" s="5" t="s">
        <v>1380</v>
      </c>
      <c r="L368" s="15" t="s">
        <v>132</v>
      </c>
      <c r="M368" s="5" t="s">
        <v>1415</v>
      </c>
      <c r="N368" s="5" t="s">
        <v>1416</v>
      </c>
      <c r="O368" s="15" t="s">
        <v>135</v>
      </c>
      <c r="P368" s="5" t="s">
        <v>1567</v>
      </c>
      <c r="Q368" s="12" t="n">
        <v>1</v>
      </c>
      <c r="R368" s="6" t="s">
        <v>1382</v>
      </c>
      <c r="S368" s="7" t="s">
        <v>1580</v>
      </c>
    </row>
    <row r="369" customFormat="false" ht="23.85" hidden="false" customHeight="false" outlineLevel="0" collapsed="false">
      <c r="A369" s="5" t="s">
        <v>17</v>
      </c>
      <c r="B369" s="5" t="s">
        <v>86</v>
      </c>
      <c r="C369" s="5" t="n">
        <v>6</v>
      </c>
      <c r="D369" s="6" t="s">
        <v>92</v>
      </c>
      <c r="E369" s="5" t="s">
        <v>1581</v>
      </c>
      <c r="F369" s="5" t="s">
        <v>1582</v>
      </c>
      <c r="G369" s="6" t="s">
        <v>1583</v>
      </c>
      <c r="H369" s="6" t="s">
        <v>1584</v>
      </c>
      <c r="I369" s="5" t="s">
        <v>1585</v>
      </c>
      <c r="J369" s="11" t="n">
        <v>46303</v>
      </c>
      <c r="K369" s="5" t="s">
        <v>1586</v>
      </c>
      <c r="L369" s="15" t="s">
        <v>132</v>
      </c>
      <c r="M369" s="5" t="s">
        <v>1415</v>
      </c>
      <c r="N369" s="5" t="s">
        <v>1416</v>
      </c>
      <c r="O369" s="15" t="s">
        <v>135</v>
      </c>
      <c r="P369" s="5" t="s">
        <v>1587</v>
      </c>
      <c r="Q369" s="12" t="n">
        <v>1</v>
      </c>
      <c r="R369" s="6" t="s">
        <v>1382</v>
      </c>
      <c r="S369" s="7" t="s">
        <v>1588</v>
      </c>
    </row>
    <row r="370" customFormat="false" ht="46.25" hidden="false" customHeight="false" outlineLevel="0" collapsed="false">
      <c r="A370" s="5" t="s">
        <v>17</v>
      </c>
      <c r="B370" s="5" t="s">
        <v>86</v>
      </c>
      <c r="C370" s="5" t="n">
        <v>6</v>
      </c>
      <c r="D370" s="6" t="s">
        <v>92</v>
      </c>
      <c r="E370" s="5" t="s">
        <v>1455</v>
      </c>
      <c r="F370" s="5" t="s">
        <v>1589</v>
      </c>
      <c r="G370" s="6" t="s">
        <v>1590</v>
      </c>
      <c r="H370" s="6" t="s">
        <v>1591</v>
      </c>
      <c r="I370" s="5" t="s">
        <v>1592</v>
      </c>
      <c r="J370" s="11" t="n">
        <v>46303</v>
      </c>
      <c r="K370" s="5" t="s">
        <v>1593</v>
      </c>
      <c r="L370" s="15" t="s">
        <v>132</v>
      </c>
      <c r="M370" s="5" t="s">
        <v>1415</v>
      </c>
      <c r="N370" s="5" t="s">
        <v>1416</v>
      </c>
      <c r="O370" s="15" t="s">
        <v>135</v>
      </c>
      <c r="P370" s="5" t="s">
        <v>1587</v>
      </c>
      <c r="Q370" s="12" t="n">
        <v>1</v>
      </c>
      <c r="R370" s="6" t="s">
        <v>1382</v>
      </c>
      <c r="S370" s="7" t="s">
        <v>1594</v>
      </c>
    </row>
    <row r="371" customFormat="false" ht="46.25" hidden="false" customHeight="false" outlineLevel="0" collapsed="false">
      <c r="A371" s="5" t="s">
        <v>17</v>
      </c>
      <c r="B371" s="5" t="s">
        <v>86</v>
      </c>
      <c r="C371" s="5" t="n">
        <v>6</v>
      </c>
      <c r="D371" s="6" t="s">
        <v>92</v>
      </c>
      <c r="E371" s="5" t="s">
        <v>1581</v>
      </c>
      <c r="F371" s="5" t="s">
        <v>1595</v>
      </c>
      <c r="G371" s="6" t="s">
        <v>1596</v>
      </c>
      <c r="H371" s="6" t="s">
        <v>1597</v>
      </c>
      <c r="I371" s="5" t="s">
        <v>1598</v>
      </c>
      <c r="J371" s="11" t="n">
        <v>46303</v>
      </c>
      <c r="K371" s="5" t="s">
        <v>1380</v>
      </c>
      <c r="L371" s="19" t="s">
        <v>1599</v>
      </c>
      <c r="M371" s="5" t="s">
        <v>1600</v>
      </c>
      <c r="N371" s="5" t="s">
        <v>1601</v>
      </c>
      <c r="O371" s="19" t="s">
        <v>1602</v>
      </c>
      <c r="P371" s="5" t="s">
        <v>1603</v>
      </c>
      <c r="Q371" s="5"/>
      <c r="R371" s="6" t="s">
        <v>1604</v>
      </c>
      <c r="S371" s="7" t="s">
        <v>1605</v>
      </c>
    </row>
    <row r="372" customFormat="false" ht="23.85" hidden="false" customHeight="false" outlineLevel="0" collapsed="false">
      <c r="A372" s="5" t="s">
        <v>23</v>
      </c>
      <c r="B372" s="5" t="s">
        <v>93</v>
      </c>
      <c r="C372" s="5" t="n">
        <v>1</v>
      </c>
      <c r="D372" s="6" t="s">
        <v>94</v>
      </c>
      <c r="E372" s="5" t="s">
        <v>1606</v>
      </c>
      <c r="F372" s="5" t="s">
        <v>1607</v>
      </c>
      <c r="G372" s="6" t="s">
        <v>1608</v>
      </c>
      <c r="H372" s="6" t="s">
        <v>1609</v>
      </c>
      <c r="I372" s="5" t="s">
        <v>1610</v>
      </c>
      <c r="J372" s="11" t="n">
        <v>46281</v>
      </c>
      <c r="K372" s="5" t="s">
        <v>19</v>
      </c>
      <c r="L372" s="15" t="s">
        <v>132</v>
      </c>
      <c r="M372" s="5" t="s">
        <v>1415</v>
      </c>
      <c r="N372" s="5" t="s">
        <v>1416</v>
      </c>
      <c r="O372" s="15" t="s">
        <v>135</v>
      </c>
      <c r="P372" s="5" t="s">
        <v>1611</v>
      </c>
      <c r="Q372" s="12" t="n">
        <v>1</v>
      </c>
      <c r="R372" s="6" t="s">
        <v>1382</v>
      </c>
      <c r="S372" s="7" t="s">
        <v>1612</v>
      </c>
    </row>
    <row r="373" customFormat="false" ht="35.05" hidden="false" customHeight="false" outlineLevel="0" collapsed="false">
      <c r="A373" s="5" t="s">
        <v>23</v>
      </c>
      <c r="B373" s="5" t="s">
        <v>93</v>
      </c>
      <c r="C373" s="5" t="n">
        <v>1</v>
      </c>
      <c r="D373" s="6" t="s">
        <v>94</v>
      </c>
      <c r="E373" s="5" t="s">
        <v>1606</v>
      </c>
      <c r="F373" s="5" t="s">
        <v>1613</v>
      </c>
      <c r="G373" s="6" t="s">
        <v>1614</v>
      </c>
      <c r="H373" s="6" t="s">
        <v>1615</v>
      </c>
      <c r="I373" s="5" t="s">
        <v>1616</v>
      </c>
      <c r="J373" s="11" t="n">
        <v>46281</v>
      </c>
      <c r="K373" s="5" t="s">
        <v>19</v>
      </c>
      <c r="L373" s="15" t="s">
        <v>132</v>
      </c>
      <c r="M373" s="5" t="s">
        <v>1415</v>
      </c>
      <c r="N373" s="5" t="s">
        <v>1416</v>
      </c>
      <c r="O373" s="15" t="s">
        <v>135</v>
      </c>
      <c r="P373" s="5" t="s">
        <v>1611</v>
      </c>
      <c r="Q373" s="12" t="n">
        <v>1</v>
      </c>
      <c r="R373" s="6" t="s">
        <v>1617</v>
      </c>
      <c r="S373" s="7" t="s">
        <v>1612</v>
      </c>
    </row>
    <row r="374" customFormat="false" ht="23.85" hidden="false" customHeight="false" outlineLevel="0" collapsed="false">
      <c r="A374" s="5" t="s">
        <v>23</v>
      </c>
      <c r="B374" s="5" t="s">
        <v>93</v>
      </c>
      <c r="C374" s="5" t="n">
        <v>1</v>
      </c>
      <c r="D374" s="6" t="s">
        <v>94</v>
      </c>
      <c r="E374" s="5" t="s">
        <v>1606</v>
      </c>
      <c r="F374" s="5" t="s">
        <v>1618</v>
      </c>
      <c r="G374" s="6" t="s">
        <v>1619</v>
      </c>
      <c r="H374" s="6" t="s">
        <v>1620</v>
      </c>
      <c r="I374" s="5" t="s">
        <v>1621</v>
      </c>
      <c r="J374" s="11" t="n">
        <v>46281</v>
      </c>
      <c r="K374" s="5" t="s">
        <v>19</v>
      </c>
      <c r="L374" s="15" t="s">
        <v>132</v>
      </c>
      <c r="M374" s="5" t="s">
        <v>1415</v>
      </c>
      <c r="N374" s="5" t="s">
        <v>1416</v>
      </c>
      <c r="O374" s="15" t="s">
        <v>135</v>
      </c>
      <c r="P374" s="5" t="s">
        <v>1611</v>
      </c>
      <c r="Q374" s="12" t="n">
        <v>1</v>
      </c>
      <c r="R374" s="6" t="s">
        <v>1622</v>
      </c>
      <c r="S374" s="7" t="s">
        <v>1623</v>
      </c>
    </row>
    <row r="375" customFormat="false" ht="23.85" hidden="false" customHeight="false" outlineLevel="0" collapsed="false">
      <c r="A375" s="5" t="s">
        <v>23</v>
      </c>
      <c r="B375" s="5" t="s">
        <v>93</v>
      </c>
      <c r="C375" s="5" t="n">
        <v>1</v>
      </c>
      <c r="D375" s="6" t="s">
        <v>94</v>
      </c>
      <c r="E375" s="5" t="s">
        <v>1606</v>
      </c>
      <c r="F375" s="5" t="s">
        <v>1624</v>
      </c>
      <c r="G375" s="6" t="s">
        <v>1625</v>
      </c>
      <c r="H375" s="6" t="s">
        <v>1626</v>
      </c>
      <c r="I375" s="5" t="s">
        <v>1616</v>
      </c>
      <c r="J375" s="11" t="n">
        <v>46281</v>
      </c>
      <c r="K375" s="5" t="s">
        <v>19</v>
      </c>
      <c r="L375" s="15" t="s">
        <v>132</v>
      </c>
      <c r="M375" s="5" t="s">
        <v>1415</v>
      </c>
      <c r="N375" s="5" t="s">
        <v>1416</v>
      </c>
      <c r="O375" s="15" t="s">
        <v>135</v>
      </c>
      <c r="P375" s="5" t="s">
        <v>1611</v>
      </c>
      <c r="Q375" s="12" t="n">
        <v>1</v>
      </c>
      <c r="R375" s="6" t="s">
        <v>1382</v>
      </c>
      <c r="S375" s="7" t="s">
        <v>1612</v>
      </c>
    </row>
    <row r="376" customFormat="false" ht="23.85" hidden="false" customHeight="false" outlineLevel="0" collapsed="false">
      <c r="A376" s="5" t="s">
        <v>23</v>
      </c>
      <c r="B376" s="5" t="s">
        <v>93</v>
      </c>
      <c r="C376" s="5" t="n">
        <v>1</v>
      </c>
      <c r="D376" s="6" t="s">
        <v>94</v>
      </c>
      <c r="E376" s="5" t="s">
        <v>1627</v>
      </c>
      <c r="F376" s="5" t="s">
        <v>1628</v>
      </c>
      <c r="G376" s="6" t="s">
        <v>1629</v>
      </c>
      <c r="H376" s="6" t="s">
        <v>1630</v>
      </c>
      <c r="I376" s="5" t="s">
        <v>1631</v>
      </c>
      <c r="J376" s="11" t="n">
        <v>46281</v>
      </c>
      <c r="K376" s="5" t="s">
        <v>19</v>
      </c>
      <c r="L376" s="15" t="s">
        <v>132</v>
      </c>
      <c r="M376" s="5" t="s">
        <v>1415</v>
      </c>
      <c r="N376" s="5" t="s">
        <v>1416</v>
      </c>
      <c r="O376" s="15" t="s">
        <v>135</v>
      </c>
      <c r="P376" s="5" t="s">
        <v>1632</v>
      </c>
      <c r="Q376" s="12" t="n">
        <v>1</v>
      </c>
      <c r="R376" s="6" t="s">
        <v>1382</v>
      </c>
      <c r="S376" s="7" t="s">
        <v>1633</v>
      </c>
    </row>
    <row r="377" customFormat="false" ht="23.85" hidden="false" customHeight="false" outlineLevel="0" collapsed="false">
      <c r="A377" s="5" t="s">
        <v>23</v>
      </c>
      <c r="B377" s="5" t="s">
        <v>93</v>
      </c>
      <c r="C377" s="5" t="n">
        <v>1</v>
      </c>
      <c r="D377" s="6" t="s">
        <v>94</v>
      </c>
      <c r="E377" s="5" t="s">
        <v>1634</v>
      </c>
      <c r="F377" s="5" t="s">
        <v>1635</v>
      </c>
      <c r="G377" s="6" t="s">
        <v>1636</v>
      </c>
      <c r="H377" s="6" t="s">
        <v>1637</v>
      </c>
      <c r="I377" s="5" t="s">
        <v>1638</v>
      </c>
      <c r="J377" s="11" t="n">
        <v>46281</v>
      </c>
      <c r="K377" s="5" t="s">
        <v>19</v>
      </c>
      <c r="L377" s="15" t="s">
        <v>132</v>
      </c>
      <c r="M377" s="5" t="s">
        <v>1415</v>
      </c>
      <c r="N377" s="5" t="s">
        <v>1416</v>
      </c>
      <c r="O377" s="20" t="s">
        <v>1639</v>
      </c>
      <c r="P377" s="5" t="s">
        <v>1632</v>
      </c>
      <c r="Q377" s="12" t="n">
        <v>1</v>
      </c>
      <c r="R377" s="6" t="s">
        <v>1640</v>
      </c>
      <c r="S377" s="7" t="s">
        <v>1641</v>
      </c>
    </row>
    <row r="378" customFormat="false" ht="23.85" hidden="false" customHeight="false" outlineLevel="0" collapsed="false">
      <c r="A378" s="5" t="s">
        <v>23</v>
      </c>
      <c r="B378" s="5" t="s">
        <v>93</v>
      </c>
      <c r="C378" s="5" t="n">
        <v>2</v>
      </c>
      <c r="D378" s="6" t="s">
        <v>95</v>
      </c>
      <c r="E378" s="5" t="s">
        <v>299</v>
      </c>
      <c r="F378" s="5" t="s">
        <v>1642</v>
      </c>
      <c r="G378" s="6" t="s">
        <v>1643</v>
      </c>
      <c r="H378" s="6" t="s">
        <v>1644</v>
      </c>
      <c r="I378" s="5" t="s">
        <v>1645</v>
      </c>
      <c r="J378" s="11" t="n">
        <v>46296</v>
      </c>
      <c r="K378" s="5" t="s">
        <v>19</v>
      </c>
      <c r="L378" s="15" t="s">
        <v>132</v>
      </c>
      <c r="M378" s="5" t="s">
        <v>1415</v>
      </c>
      <c r="N378" s="5" t="s">
        <v>1416</v>
      </c>
      <c r="O378" s="15" t="s">
        <v>135</v>
      </c>
      <c r="P378" s="5" t="s">
        <v>1632</v>
      </c>
      <c r="Q378" s="12" t="n">
        <v>1</v>
      </c>
      <c r="R378" s="6" t="s">
        <v>1382</v>
      </c>
      <c r="S378" s="7" t="s">
        <v>1646</v>
      </c>
    </row>
    <row r="379" customFormat="false" ht="23.85" hidden="false" customHeight="false" outlineLevel="0" collapsed="false">
      <c r="A379" s="5" t="s">
        <v>23</v>
      </c>
      <c r="B379" s="5" t="s">
        <v>93</v>
      </c>
      <c r="C379" s="5" t="n">
        <v>2</v>
      </c>
      <c r="D379" s="6" t="s">
        <v>95</v>
      </c>
      <c r="E379" s="5" t="s">
        <v>299</v>
      </c>
      <c r="F379" s="5" t="s">
        <v>1647</v>
      </c>
      <c r="G379" s="6" t="s">
        <v>1648</v>
      </c>
      <c r="H379" s="6" t="s">
        <v>1649</v>
      </c>
      <c r="I379" s="5" t="s">
        <v>1650</v>
      </c>
      <c r="J379" s="11" t="n">
        <v>46296</v>
      </c>
      <c r="K379" s="5" t="s">
        <v>19</v>
      </c>
      <c r="L379" s="15" t="s">
        <v>132</v>
      </c>
      <c r="M379" s="5" t="s">
        <v>1415</v>
      </c>
      <c r="N379" s="5" t="s">
        <v>1416</v>
      </c>
      <c r="O379" s="15" t="s">
        <v>135</v>
      </c>
      <c r="P379" s="5" t="s">
        <v>1632</v>
      </c>
      <c r="Q379" s="12" t="n">
        <v>1</v>
      </c>
      <c r="R379" s="6" t="s">
        <v>1651</v>
      </c>
      <c r="S379" s="7" t="s">
        <v>1652</v>
      </c>
    </row>
    <row r="380" customFormat="false" ht="23.85" hidden="false" customHeight="false" outlineLevel="0" collapsed="false">
      <c r="A380" s="5" t="s">
        <v>23</v>
      </c>
      <c r="B380" s="5" t="s">
        <v>93</v>
      </c>
      <c r="C380" s="5" t="n">
        <v>2</v>
      </c>
      <c r="D380" s="6" t="s">
        <v>95</v>
      </c>
      <c r="E380" s="5" t="s">
        <v>1404</v>
      </c>
      <c r="F380" s="5" t="s">
        <v>1653</v>
      </c>
      <c r="G380" s="6" t="s">
        <v>1654</v>
      </c>
      <c r="H380" s="6" t="s">
        <v>1655</v>
      </c>
      <c r="I380" s="5" t="s">
        <v>1656</v>
      </c>
      <c r="J380" s="11" t="n">
        <v>46297</v>
      </c>
      <c r="K380" s="5" t="s">
        <v>19</v>
      </c>
      <c r="L380" s="15" t="s">
        <v>132</v>
      </c>
      <c r="M380" s="5" t="s">
        <v>1415</v>
      </c>
      <c r="N380" s="5" t="s">
        <v>1416</v>
      </c>
      <c r="O380" s="15" t="s">
        <v>135</v>
      </c>
      <c r="P380" s="5" t="s">
        <v>1632</v>
      </c>
      <c r="Q380" s="12" t="n">
        <v>1</v>
      </c>
      <c r="R380" s="6" t="s">
        <v>1657</v>
      </c>
      <c r="S380" s="7" t="s">
        <v>1658</v>
      </c>
    </row>
    <row r="381" customFormat="false" ht="35.05" hidden="false" customHeight="false" outlineLevel="0" collapsed="false">
      <c r="A381" s="5" t="s">
        <v>23</v>
      </c>
      <c r="B381" s="5" t="s">
        <v>93</v>
      </c>
      <c r="C381" s="5" t="n">
        <v>3</v>
      </c>
      <c r="D381" s="6" t="s">
        <v>96</v>
      </c>
      <c r="E381" s="5" t="s">
        <v>1606</v>
      </c>
      <c r="F381" s="5" t="s">
        <v>1659</v>
      </c>
      <c r="G381" s="6" t="s">
        <v>1660</v>
      </c>
      <c r="H381" s="6" t="s">
        <v>1661</v>
      </c>
      <c r="I381" s="5" t="s">
        <v>1388</v>
      </c>
      <c r="J381" s="11" t="n">
        <v>46297</v>
      </c>
      <c r="K381" s="5" t="s">
        <v>1380</v>
      </c>
      <c r="L381" s="15" t="s">
        <v>132</v>
      </c>
      <c r="M381" s="5" t="s">
        <v>1415</v>
      </c>
      <c r="N381" s="5" t="s">
        <v>1416</v>
      </c>
      <c r="O381" s="15" t="s">
        <v>135</v>
      </c>
      <c r="P381" s="5" t="s">
        <v>1662</v>
      </c>
      <c r="Q381" s="12" t="n">
        <v>1</v>
      </c>
      <c r="R381" s="6" t="s">
        <v>1382</v>
      </c>
      <c r="S381" s="7" t="s">
        <v>1663</v>
      </c>
    </row>
    <row r="382" customFormat="false" ht="35.05" hidden="false" customHeight="false" outlineLevel="0" collapsed="false">
      <c r="A382" s="5" t="s">
        <v>23</v>
      </c>
      <c r="B382" s="5" t="s">
        <v>93</v>
      </c>
      <c r="C382" s="5" t="n">
        <v>3</v>
      </c>
      <c r="D382" s="6" t="s">
        <v>96</v>
      </c>
      <c r="E382" s="5" t="s">
        <v>1634</v>
      </c>
      <c r="F382" s="5" t="s">
        <v>1664</v>
      </c>
      <c r="G382" s="6" t="s">
        <v>1665</v>
      </c>
      <c r="H382" s="6" t="s">
        <v>1666</v>
      </c>
      <c r="I382" s="5" t="s">
        <v>1388</v>
      </c>
      <c r="J382" s="11" t="n">
        <v>46297</v>
      </c>
      <c r="K382" s="5" t="s">
        <v>1380</v>
      </c>
      <c r="L382" s="15" t="s">
        <v>132</v>
      </c>
      <c r="M382" s="5" t="s">
        <v>1415</v>
      </c>
      <c r="N382" s="5" t="s">
        <v>1416</v>
      </c>
      <c r="O382" s="15" t="s">
        <v>135</v>
      </c>
      <c r="P382" s="5" t="s">
        <v>1662</v>
      </c>
      <c r="Q382" s="12" t="n">
        <v>1</v>
      </c>
      <c r="R382" s="6" t="s">
        <v>1382</v>
      </c>
      <c r="S382" s="7" t="s">
        <v>1663</v>
      </c>
    </row>
    <row r="383" customFormat="false" ht="35.05" hidden="false" customHeight="false" outlineLevel="0" collapsed="false">
      <c r="A383" s="5" t="s">
        <v>23</v>
      </c>
      <c r="B383" s="5" t="s">
        <v>93</v>
      </c>
      <c r="C383" s="5" t="n">
        <v>3</v>
      </c>
      <c r="D383" s="6" t="s">
        <v>96</v>
      </c>
      <c r="E383" s="5" t="s">
        <v>1667</v>
      </c>
      <c r="F383" s="5" t="s">
        <v>1668</v>
      </c>
      <c r="G383" s="6" t="s">
        <v>1669</v>
      </c>
      <c r="H383" s="6" t="s">
        <v>1670</v>
      </c>
      <c r="I383" s="5" t="s">
        <v>1388</v>
      </c>
      <c r="J383" s="11" t="n">
        <v>46297</v>
      </c>
      <c r="K383" s="5" t="s">
        <v>1380</v>
      </c>
      <c r="L383" s="15" t="s">
        <v>132</v>
      </c>
      <c r="M383" s="5" t="s">
        <v>1415</v>
      </c>
      <c r="N383" s="5" t="s">
        <v>1416</v>
      </c>
      <c r="O383" s="15" t="s">
        <v>135</v>
      </c>
      <c r="P383" s="5" t="s">
        <v>1662</v>
      </c>
      <c r="Q383" s="12" t="n">
        <v>1</v>
      </c>
      <c r="R383" s="6" t="s">
        <v>1382</v>
      </c>
      <c r="S383" s="7" t="s">
        <v>1663</v>
      </c>
    </row>
    <row r="384" customFormat="false" ht="35.05" hidden="false" customHeight="false" outlineLevel="0" collapsed="false">
      <c r="A384" s="5" t="s">
        <v>23</v>
      </c>
      <c r="B384" s="5" t="s">
        <v>93</v>
      </c>
      <c r="C384" s="5" t="n">
        <v>3</v>
      </c>
      <c r="D384" s="6" t="s">
        <v>96</v>
      </c>
      <c r="E384" s="5" t="s">
        <v>299</v>
      </c>
      <c r="F384" s="5" t="s">
        <v>1671</v>
      </c>
      <c r="G384" s="6" t="s">
        <v>1672</v>
      </c>
      <c r="H384" s="6" t="s">
        <v>1673</v>
      </c>
      <c r="I384" s="5" t="s">
        <v>1388</v>
      </c>
      <c r="J384" s="11" t="n">
        <v>46297</v>
      </c>
      <c r="K384" s="5" t="s">
        <v>1380</v>
      </c>
      <c r="L384" s="15" t="s">
        <v>132</v>
      </c>
      <c r="M384" s="5" t="s">
        <v>1415</v>
      </c>
      <c r="N384" s="5" t="s">
        <v>1416</v>
      </c>
      <c r="O384" s="15" t="s">
        <v>135</v>
      </c>
      <c r="P384" s="5" t="s">
        <v>1662</v>
      </c>
      <c r="Q384" s="12" t="n">
        <v>1</v>
      </c>
      <c r="R384" s="6" t="s">
        <v>1382</v>
      </c>
      <c r="S384" s="7" t="s">
        <v>1663</v>
      </c>
    </row>
    <row r="385" customFormat="false" ht="35.05" hidden="false" customHeight="false" outlineLevel="0" collapsed="false">
      <c r="A385" s="5" t="s">
        <v>23</v>
      </c>
      <c r="B385" s="5" t="s">
        <v>93</v>
      </c>
      <c r="C385" s="5" t="n">
        <v>3</v>
      </c>
      <c r="D385" s="6" t="s">
        <v>96</v>
      </c>
      <c r="E385" s="5" t="s">
        <v>1606</v>
      </c>
      <c r="F385" s="5" t="s">
        <v>1674</v>
      </c>
      <c r="G385" s="6" t="s">
        <v>1675</v>
      </c>
      <c r="H385" s="6" t="s">
        <v>1676</v>
      </c>
      <c r="I385" s="5" t="s">
        <v>1397</v>
      </c>
      <c r="J385" s="11" t="n">
        <v>46298</v>
      </c>
      <c r="K385" s="5" t="s">
        <v>1566</v>
      </c>
      <c r="L385" s="15" t="s">
        <v>132</v>
      </c>
      <c r="M385" s="5" t="s">
        <v>1415</v>
      </c>
      <c r="N385" s="5" t="s">
        <v>1416</v>
      </c>
      <c r="O385" s="15" t="s">
        <v>135</v>
      </c>
      <c r="P385" s="5" t="s">
        <v>1662</v>
      </c>
      <c r="Q385" s="12" t="n">
        <v>1</v>
      </c>
      <c r="R385" s="6" t="s">
        <v>1382</v>
      </c>
      <c r="S385" s="7" t="s">
        <v>1677</v>
      </c>
    </row>
    <row r="386" customFormat="false" ht="35.05" hidden="false" customHeight="false" outlineLevel="0" collapsed="false">
      <c r="A386" s="5" t="s">
        <v>23</v>
      </c>
      <c r="B386" s="5" t="s">
        <v>93</v>
      </c>
      <c r="C386" s="5" t="n">
        <v>3</v>
      </c>
      <c r="D386" s="6" t="s">
        <v>96</v>
      </c>
      <c r="E386" s="5" t="s">
        <v>1606</v>
      </c>
      <c r="F386" s="5" t="s">
        <v>1678</v>
      </c>
      <c r="G386" s="6" t="s">
        <v>1679</v>
      </c>
      <c r="H386" s="6" t="s">
        <v>1680</v>
      </c>
      <c r="I386" s="5" t="s">
        <v>1397</v>
      </c>
      <c r="J386" s="11" t="n">
        <v>46298</v>
      </c>
      <c r="K386" s="5" t="s">
        <v>1566</v>
      </c>
      <c r="L386" s="15" t="s">
        <v>132</v>
      </c>
      <c r="M386" s="5" t="s">
        <v>1415</v>
      </c>
      <c r="N386" s="5" t="s">
        <v>1416</v>
      </c>
      <c r="O386" s="15" t="s">
        <v>135</v>
      </c>
      <c r="P386" s="5" t="s">
        <v>1662</v>
      </c>
      <c r="Q386" s="12" t="n">
        <v>1</v>
      </c>
      <c r="R386" s="6" t="s">
        <v>1382</v>
      </c>
      <c r="S386" s="7" t="s">
        <v>1677</v>
      </c>
    </row>
    <row r="387" customFormat="false" ht="35.05" hidden="false" customHeight="false" outlineLevel="0" collapsed="false">
      <c r="A387" s="5" t="s">
        <v>23</v>
      </c>
      <c r="B387" s="5" t="s">
        <v>93</v>
      </c>
      <c r="C387" s="5" t="n">
        <v>3</v>
      </c>
      <c r="D387" s="6" t="s">
        <v>96</v>
      </c>
      <c r="E387" s="5" t="s">
        <v>1569</v>
      </c>
      <c r="F387" s="5" t="s">
        <v>1681</v>
      </c>
      <c r="G387" s="6" t="s">
        <v>1682</v>
      </c>
      <c r="H387" s="6" t="s">
        <v>1683</v>
      </c>
      <c r="I387" s="5" t="s">
        <v>1397</v>
      </c>
      <c r="J387" s="11" t="n">
        <v>46298</v>
      </c>
      <c r="K387" s="5" t="s">
        <v>1566</v>
      </c>
      <c r="L387" s="15" t="s">
        <v>132</v>
      </c>
      <c r="M387" s="5" t="s">
        <v>1415</v>
      </c>
      <c r="N387" s="5" t="s">
        <v>1416</v>
      </c>
      <c r="O387" s="15" t="s">
        <v>135</v>
      </c>
      <c r="P387" s="5" t="s">
        <v>1662</v>
      </c>
      <c r="Q387" s="12" t="n">
        <v>1</v>
      </c>
      <c r="R387" s="6" t="s">
        <v>1382</v>
      </c>
      <c r="S387" s="7" t="s">
        <v>1677</v>
      </c>
    </row>
    <row r="388" customFormat="false" ht="35.05" hidden="false" customHeight="false" outlineLevel="0" collapsed="false">
      <c r="A388" s="5" t="s">
        <v>23</v>
      </c>
      <c r="B388" s="5" t="s">
        <v>93</v>
      </c>
      <c r="C388" s="5" t="n">
        <v>3</v>
      </c>
      <c r="D388" s="6" t="s">
        <v>96</v>
      </c>
      <c r="E388" s="5" t="s">
        <v>1581</v>
      </c>
      <c r="F388" s="5" t="s">
        <v>1684</v>
      </c>
      <c r="G388" s="6" t="s">
        <v>1685</v>
      </c>
      <c r="H388" s="6" t="s">
        <v>1686</v>
      </c>
      <c r="I388" s="5" t="s">
        <v>1397</v>
      </c>
      <c r="J388" s="11" t="n">
        <v>46298</v>
      </c>
      <c r="K388" s="5" t="s">
        <v>1566</v>
      </c>
      <c r="L388" s="15" t="s">
        <v>132</v>
      </c>
      <c r="M388" s="5" t="s">
        <v>1415</v>
      </c>
      <c r="N388" s="5" t="s">
        <v>1416</v>
      </c>
      <c r="O388" s="15" t="s">
        <v>135</v>
      </c>
      <c r="P388" s="5" t="s">
        <v>1662</v>
      </c>
      <c r="Q388" s="12" t="n">
        <v>1</v>
      </c>
      <c r="R388" s="6" t="s">
        <v>1382</v>
      </c>
      <c r="S388" s="7" t="s">
        <v>1677</v>
      </c>
    </row>
    <row r="389" customFormat="false" ht="35.05" hidden="false" customHeight="false" outlineLevel="0" collapsed="false">
      <c r="A389" s="5" t="s">
        <v>23</v>
      </c>
      <c r="B389" s="5" t="s">
        <v>93</v>
      </c>
      <c r="C389" s="5" t="n">
        <v>3</v>
      </c>
      <c r="D389" s="6" t="s">
        <v>96</v>
      </c>
      <c r="E389" s="5" t="s">
        <v>1606</v>
      </c>
      <c r="F389" s="5" t="s">
        <v>1687</v>
      </c>
      <c r="G389" s="6" t="s">
        <v>1688</v>
      </c>
      <c r="H389" s="6" t="s">
        <v>1689</v>
      </c>
      <c r="I389" s="5" t="s">
        <v>1397</v>
      </c>
      <c r="J389" s="11" t="n">
        <v>46303</v>
      </c>
      <c r="K389" s="5" t="s">
        <v>1566</v>
      </c>
      <c r="L389" s="15" t="s">
        <v>132</v>
      </c>
      <c r="M389" s="5" t="s">
        <v>1415</v>
      </c>
      <c r="N389" s="5" t="s">
        <v>1416</v>
      </c>
      <c r="O389" s="15" t="s">
        <v>135</v>
      </c>
      <c r="P389" s="5" t="s">
        <v>1662</v>
      </c>
      <c r="Q389" s="12" t="n">
        <v>1</v>
      </c>
      <c r="R389" s="6" t="s">
        <v>1382</v>
      </c>
      <c r="S389" s="7" t="s">
        <v>1677</v>
      </c>
    </row>
    <row r="390" customFormat="false" ht="35.05" hidden="false" customHeight="false" outlineLevel="0" collapsed="false">
      <c r="A390" s="5" t="s">
        <v>23</v>
      </c>
      <c r="B390" s="5" t="s">
        <v>93</v>
      </c>
      <c r="C390" s="5" t="n">
        <v>3</v>
      </c>
      <c r="D390" s="6" t="s">
        <v>96</v>
      </c>
      <c r="E390" s="5" t="s">
        <v>1581</v>
      </c>
      <c r="F390" s="5" t="s">
        <v>1690</v>
      </c>
      <c r="G390" s="6" t="s">
        <v>1691</v>
      </c>
      <c r="H390" s="6" t="s">
        <v>1692</v>
      </c>
      <c r="I390" s="5" t="s">
        <v>1463</v>
      </c>
      <c r="J390" s="11" t="n">
        <v>46304</v>
      </c>
      <c r="K390" s="5" t="s">
        <v>1380</v>
      </c>
      <c r="L390" s="19" t="s">
        <v>1599</v>
      </c>
      <c r="M390" s="5" t="s">
        <v>1600</v>
      </c>
      <c r="N390" s="5" t="s">
        <v>1601</v>
      </c>
      <c r="O390" s="19" t="s">
        <v>1602</v>
      </c>
      <c r="P390" s="5" t="s">
        <v>1693</v>
      </c>
      <c r="Q390" s="5"/>
      <c r="R390" s="6" t="s">
        <v>1694</v>
      </c>
      <c r="S390" s="7" t="s">
        <v>1695</v>
      </c>
    </row>
    <row r="391" customFormat="false" ht="23.85" hidden="false" customHeight="false" outlineLevel="0" collapsed="false">
      <c r="A391" s="5" t="s">
        <v>23</v>
      </c>
      <c r="B391" s="5" t="s">
        <v>93</v>
      </c>
      <c r="C391" s="5" t="n">
        <v>4</v>
      </c>
      <c r="D391" s="6" t="s">
        <v>97</v>
      </c>
      <c r="E391" s="5" t="s">
        <v>1404</v>
      </c>
      <c r="F391" s="5" t="s">
        <v>1696</v>
      </c>
      <c r="G391" s="6" t="s">
        <v>1697</v>
      </c>
      <c r="H391" s="6" t="s">
        <v>1698</v>
      </c>
      <c r="I391" s="5" t="s">
        <v>1699</v>
      </c>
      <c r="J391" s="11" t="n">
        <v>46303</v>
      </c>
      <c r="K391" s="5" t="s">
        <v>19</v>
      </c>
      <c r="L391" s="15" t="s">
        <v>132</v>
      </c>
      <c r="M391" s="5" t="s">
        <v>1415</v>
      </c>
      <c r="N391" s="5" t="s">
        <v>1416</v>
      </c>
      <c r="O391" s="15" t="s">
        <v>135</v>
      </c>
      <c r="P391" s="5" t="s">
        <v>1700</v>
      </c>
      <c r="Q391" s="12" t="n">
        <v>1</v>
      </c>
      <c r="R391" s="6" t="s">
        <v>1382</v>
      </c>
      <c r="S391" s="7" t="s">
        <v>1701</v>
      </c>
    </row>
    <row r="392" customFormat="false" ht="35.05" hidden="false" customHeight="false" outlineLevel="0" collapsed="false">
      <c r="A392" s="5" t="s">
        <v>23</v>
      </c>
      <c r="B392" s="5" t="s">
        <v>93</v>
      </c>
      <c r="C392" s="5" t="n">
        <v>4</v>
      </c>
      <c r="D392" s="6" t="s">
        <v>97</v>
      </c>
      <c r="E392" s="5" t="s">
        <v>299</v>
      </c>
      <c r="F392" s="5" t="s">
        <v>1702</v>
      </c>
      <c r="G392" s="6" t="s">
        <v>1703</v>
      </c>
      <c r="H392" s="6" t="s">
        <v>1704</v>
      </c>
      <c r="I392" s="5" t="s">
        <v>1705</v>
      </c>
      <c r="J392" s="11" t="n">
        <v>46304</v>
      </c>
      <c r="K392" s="5" t="s">
        <v>19</v>
      </c>
      <c r="L392" s="15" t="s">
        <v>132</v>
      </c>
      <c r="M392" s="5" t="s">
        <v>1415</v>
      </c>
      <c r="N392" s="5" t="s">
        <v>1416</v>
      </c>
      <c r="O392" s="15" t="s">
        <v>135</v>
      </c>
      <c r="P392" s="5" t="s">
        <v>1706</v>
      </c>
      <c r="Q392" s="12" t="n">
        <v>1</v>
      </c>
      <c r="R392" s="6" t="s">
        <v>1707</v>
      </c>
      <c r="S392" s="7" t="s">
        <v>1708</v>
      </c>
    </row>
    <row r="393" customFormat="false" ht="35.05" hidden="false" customHeight="false" outlineLevel="0" collapsed="false">
      <c r="A393" s="5" t="s">
        <v>23</v>
      </c>
      <c r="B393" s="5" t="s">
        <v>98</v>
      </c>
      <c r="C393" s="5" t="n">
        <v>1</v>
      </c>
      <c r="D393" s="6" t="s">
        <v>99</v>
      </c>
      <c r="E393" s="5" t="s">
        <v>1667</v>
      </c>
      <c r="F393" s="5" t="s">
        <v>1709</v>
      </c>
      <c r="G393" s="6" t="s">
        <v>1710</v>
      </c>
      <c r="H393" s="6" t="s">
        <v>1711</v>
      </c>
      <c r="I393" s="5" t="s">
        <v>1712</v>
      </c>
      <c r="J393" s="11" t="n">
        <v>46259</v>
      </c>
      <c r="K393" s="5" t="s">
        <v>19</v>
      </c>
      <c r="L393" s="15" t="s">
        <v>132</v>
      </c>
      <c r="M393" s="5" t="s">
        <v>1415</v>
      </c>
      <c r="N393" s="5" t="s">
        <v>1416</v>
      </c>
      <c r="O393" s="15" t="s">
        <v>135</v>
      </c>
      <c r="P393" s="5" t="s">
        <v>1713</v>
      </c>
      <c r="Q393" s="12" t="n">
        <v>1</v>
      </c>
      <c r="R393" s="6" t="s">
        <v>1382</v>
      </c>
      <c r="S393" s="7" t="s">
        <v>1714</v>
      </c>
    </row>
    <row r="394" customFormat="false" ht="23.85" hidden="false" customHeight="false" outlineLevel="0" collapsed="false">
      <c r="A394" s="5" t="s">
        <v>23</v>
      </c>
      <c r="B394" s="5" t="s">
        <v>98</v>
      </c>
      <c r="C394" s="5" t="n">
        <v>2</v>
      </c>
      <c r="D394" s="6" t="s">
        <v>100</v>
      </c>
      <c r="E394" s="5" t="s">
        <v>1667</v>
      </c>
      <c r="F394" s="5" t="s">
        <v>1715</v>
      </c>
      <c r="G394" s="6" t="s">
        <v>1716</v>
      </c>
      <c r="H394" s="6" t="s">
        <v>1717</v>
      </c>
      <c r="I394" s="5" t="s">
        <v>1718</v>
      </c>
      <c r="J394" s="11" t="n">
        <v>46260</v>
      </c>
      <c r="K394" s="5" t="s">
        <v>19</v>
      </c>
      <c r="L394" s="15" t="s">
        <v>132</v>
      </c>
      <c r="M394" s="5" t="s">
        <v>1415</v>
      </c>
      <c r="N394" s="5" t="s">
        <v>1416</v>
      </c>
      <c r="O394" s="15" t="s">
        <v>135</v>
      </c>
      <c r="P394" s="5" t="s">
        <v>1713</v>
      </c>
      <c r="Q394" s="12" t="n">
        <v>1</v>
      </c>
      <c r="R394" s="6" t="s">
        <v>1382</v>
      </c>
      <c r="S394" s="7" t="s">
        <v>1719</v>
      </c>
    </row>
    <row r="395" customFormat="false" ht="23.85" hidden="false" customHeight="false" outlineLevel="0" collapsed="false">
      <c r="A395" s="5" t="s">
        <v>23</v>
      </c>
      <c r="B395" s="5" t="s">
        <v>98</v>
      </c>
      <c r="C395" s="5" t="n">
        <v>2</v>
      </c>
      <c r="D395" s="6" t="s">
        <v>100</v>
      </c>
      <c r="E395" s="5" t="s">
        <v>1667</v>
      </c>
      <c r="F395" s="5" t="s">
        <v>1720</v>
      </c>
      <c r="G395" s="6" t="s">
        <v>1721</v>
      </c>
      <c r="H395" s="6" t="s">
        <v>1722</v>
      </c>
      <c r="I395" s="5" t="s">
        <v>1723</v>
      </c>
      <c r="J395" s="11" t="n">
        <v>46260</v>
      </c>
      <c r="K395" s="5" t="s">
        <v>19</v>
      </c>
      <c r="L395" s="15" t="s">
        <v>132</v>
      </c>
      <c r="M395" s="5" t="s">
        <v>1415</v>
      </c>
      <c r="N395" s="5" t="s">
        <v>1416</v>
      </c>
      <c r="O395" s="15" t="s">
        <v>135</v>
      </c>
      <c r="P395" s="5" t="s">
        <v>1713</v>
      </c>
      <c r="Q395" s="12" t="n">
        <v>1</v>
      </c>
      <c r="R395" s="6" t="s">
        <v>1382</v>
      </c>
      <c r="S395" s="7" t="s">
        <v>1724</v>
      </c>
    </row>
    <row r="396" customFormat="false" ht="23.85" hidden="false" customHeight="false" outlineLevel="0" collapsed="false">
      <c r="A396" s="5" t="s">
        <v>23</v>
      </c>
      <c r="B396" s="5" t="s">
        <v>98</v>
      </c>
      <c r="C396" s="5" t="n">
        <v>2</v>
      </c>
      <c r="D396" s="6" t="s">
        <v>100</v>
      </c>
      <c r="E396" s="5" t="s">
        <v>1667</v>
      </c>
      <c r="F396" s="5" t="s">
        <v>1725</v>
      </c>
      <c r="G396" s="6" t="s">
        <v>1726</v>
      </c>
      <c r="H396" s="6" t="s">
        <v>1727</v>
      </c>
      <c r="I396" s="5" t="s">
        <v>1728</v>
      </c>
      <c r="J396" s="11" t="n">
        <v>46260</v>
      </c>
      <c r="K396" s="5" t="s">
        <v>19</v>
      </c>
      <c r="L396" s="15" t="s">
        <v>132</v>
      </c>
      <c r="M396" s="5" t="s">
        <v>1415</v>
      </c>
      <c r="N396" s="5" t="s">
        <v>1416</v>
      </c>
      <c r="O396" s="15" t="s">
        <v>135</v>
      </c>
      <c r="P396" s="5" t="s">
        <v>1713</v>
      </c>
      <c r="Q396" s="12" t="n">
        <v>1</v>
      </c>
      <c r="R396" s="6" t="s">
        <v>1382</v>
      </c>
      <c r="S396" s="7" t="s">
        <v>1729</v>
      </c>
    </row>
    <row r="397" customFormat="false" ht="35.05" hidden="false" customHeight="false" outlineLevel="0" collapsed="false">
      <c r="A397" s="5" t="s">
        <v>23</v>
      </c>
      <c r="B397" s="5" t="s">
        <v>98</v>
      </c>
      <c r="C397" s="5" t="n">
        <v>2</v>
      </c>
      <c r="D397" s="6" t="s">
        <v>100</v>
      </c>
      <c r="E397" s="5" t="s">
        <v>1667</v>
      </c>
      <c r="F397" s="5" t="s">
        <v>1730</v>
      </c>
      <c r="G397" s="6" t="s">
        <v>1731</v>
      </c>
      <c r="H397" s="6" t="s">
        <v>1732</v>
      </c>
      <c r="I397" s="5" t="s">
        <v>1733</v>
      </c>
      <c r="J397" s="11"/>
      <c r="K397" s="5" t="s">
        <v>1382</v>
      </c>
      <c r="L397" s="19" t="s">
        <v>1599</v>
      </c>
      <c r="M397" s="5" t="s">
        <v>1734</v>
      </c>
      <c r="N397" s="5" t="s">
        <v>1734</v>
      </c>
      <c r="O397" s="20" t="s">
        <v>1735</v>
      </c>
      <c r="P397" s="5" t="s">
        <v>323</v>
      </c>
      <c r="Q397" s="12" t="n">
        <v>0</v>
      </c>
      <c r="R397" s="6" t="s">
        <v>1732</v>
      </c>
      <c r="S397" s="7" t="s">
        <v>1736</v>
      </c>
    </row>
    <row r="398" customFormat="false" ht="35.05" hidden="false" customHeight="false" outlineLevel="0" collapsed="false">
      <c r="A398" s="5" t="s">
        <v>23</v>
      </c>
      <c r="B398" s="5" t="s">
        <v>98</v>
      </c>
      <c r="C398" s="5" t="n">
        <v>3</v>
      </c>
      <c r="D398" s="6" t="s">
        <v>101</v>
      </c>
      <c r="E398" s="5" t="s">
        <v>1667</v>
      </c>
      <c r="F398" s="5" t="s">
        <v>1737</v>
      </c>
      <c r="G398" s="6" t="s">
        <v>1738</v>
      </c>
      <c r="H398" s="6" t="s">
        <v>1739</v>
      </c>
      <c r="I398" s="5" t="s">
        <v>1740</v>
      </c>
      <c r="J398" s="11" t="n">
        <v>46260</v>
      </c>
      <c r="K398" s="5" t="s">
        <v>19</v>
      </c>
      <c r="L398" s="15" t="s">
        <v>132</v>
      </c>
      <c r="M398" s="5" t="s">
        <v>1415</v>
      </c>
      <c r="N398" s="5" t="s">
        <v>1416</v>
      </c>
      <c r="O398" s="15" t="s">
        <v>135</v>
      </c>
      <c r="P398" s="5" t="s">
        <v>1713</v>
      </c>
      <c r="Q398" s="12" t="n">
        <v>1</v>
      </c>
      <c r="R398" s="6" t="s">
        <v>1382</v>
      </c>
      <c r="S398" s="7" t="s">
        <v>1741</v>
      </c>
    </row>
    <row r="399" customFormat="false" ht="23.85" hidden="false" customHeight="false" outlineLevel="0" collapsed="false">
      <c r="A399" s="5" t="s">
        <v>23</v>
      </c>
      <c r="B399" s="5" t="s">
        <v>98</v>
      </c>
      <c r="C399" s="5" t="n">
        <v>3</v>
      </c>
      <c r="D399" s="6" t="s">
        <v>101</v>
      </c>
      <c r="E399" s="5" t="s">
        <v>1667</v>
      </c>
      <c r="F399" s="5" t="s">
        <v>1742</v>
      </c>
      <c r="G399" s="6" t="s">
        <v>1743</v>
      </c>
      <c r="H399" s="6" t="s">
        <v>1744</v>
      </c>
      <c r="I399" s="5" t="s">
        <v>1733</v>
      </c>
      <c r="J399" s="11"/>
      <c r="K399" s="5" t="s">
        <v>1382</v>
      </c>
      <c r="L399" s="19" t="s">
        <v>1599</v>
      </c>
      <c r="M399" s="5" t="s">
        <v>1734</v>
      </c>
      <c r="N399" s="5" t="s">
        <v>1734</v>
      </c>
      <c r="O399" s="20" t="s">
        <v>1735</v>
      </c>
      <c r="P399" s="5" t="s">
        <v>323</v>
      </c>
      <c r="Q399" s="12" t="n">
        <v>0</v>
      </c>
      <c r="R399" s="6" t="s">
        <v>1744</v>
      </c>
      <c r="S399" s="7" t="s">
        <v>1736</v>
      </c>
    </row>
    <row r="400" customFormat="false" ht="23.85" hidden="false" customHeight="false" outlineLevel="0" collapsed="false">
      <c r="A400" s="5" t="s">
        <v>23</v>
      </c>
      <c r="B400" s="5" t="s">
        <v>98</v>
      </c>
      <c r="C400" s="5" t="n">
        <v>4</v>
      </c>
      <c r="D400" s="6" t="s">
        <v>102</v>
      </c>
      <c r="E400" s="5" t="s">
        <v>1667</v>
      </c>
      <c r="F400" s="5" t="s">
        <v>1745</v>
      </c>
      <c r="G400" s="6" t="s">
        <v>1746</v>
      </c>
      <c r="H400" s="6" t="s">
        <v>1747</v>
      </c>
      <c r="I400" s="5" t="s">
        <v>1748</v>
      </c>
      <c r="J400" s="11" t="n">
        <v>46267</v>
      </c>
      <c r="K400" s="5" t="s">
        <v>19</v>
      </c>
      <c r="L400" s="15" t="s">
        <v>132</v>
      </c>
      <c r="M400" s="5" t="s">
        <v>1415</v>
      </c>
      <c r="N400" s="5" t="s">
        <v>1416</v>
      </c>
      <c r="O400" s="15" t="s">
        <v>135</v>
      </c>
      <c r="P400" s="5" t="s">
        <v>1713</v>
      </c>
      <c r="Q400" s="12" t="n">
        <v>1</v>
      </c>
      <c r="R400" s="6" t="s">
        <v>1382</v>
      </c>
      <c r="S400" s="7" t="s">
        <v>1749</v>
      </c>
    </row>
    <row r="401" customFormat="false" ht="23.85" hidden="false" customHeight="false" outlineLevel="0" collapsed="false">
      <c r="A401" s="5" t="s">
        <v>23</v>
      </c>
      <c r="B401" s="5" t="s">
        <v>98</v>
      </c>
      <c r="C401" s="5" t="n">
        <v>4</v>
      </c>
      <c r="D401" s="6" t="s">
        <v>102</v>
      </c>
      <c r="E401" s="5" t="s">
        <v>1667</v>
      </c>
      <c r="F401" s="5" t="s">
        <v>1750</v>
      </c>
      <c r="G401" s="6" t="s">
        <v>1751</v>
      </c>
      <c r="H401" s="6" t="s">
        <v>1752</v>
      </c>
      <c r="I401" s="5" t="s">
        <v>1733</v>
      </c>
      <c r="J401" s="11"/>
      <c r="K401" s="5" t="s">
        <v>1382</v>
      </c>
      <c r="L401" s="19" t="s">
        <v>1599</v>
      </c>
      <c r="M401" s="5" t="s">
        <v>1734</v>
      </c>
      <c r="N401" s="5" t="s">
        <v>1734</v>
      </c>
      <c r="O401" s="20" t="s">
        <v>1735</v>
      </c>
      <c r="P401" s="5" t="s">
        <v>323</v>
      </c>
      <c r="Q401" s="12" t="n">
        <v>0</v>
      </c>
      <c r="R401" s="6" t="s">
        <v>1752</v>
      </c>
      <c r="S401" s="7" t="s">
        <v>1736</v>
      </c>
    </row>
    <row r="402" customFormat="false" ht="23.85" hidden="false" customHeight="false" outlineLevel="0" collapsed="false">
      <c r="A402" s="5" t="s">
        <v>23</v>
      </c>
      <c r="B402" s="5" t="s">
        <v>98</v>
      </c>
      <c r="C402" s="5" t="n">
        <v>4</v>
      </c>
      <c r="D402" s="6" t="s">
        <v>102</v>
      </c>
      <c r="E402" s="5" t="s">
        <v>1667</v>
      </c>
      <c r="F402" s="5" t="s">
        <v>1753</v>
      </c>
      <c r="G402" s="6" t="s">
        <v>1754</v>
      </c>
      <c r="H402" s="6" t="s">
        <v>1755</v>
      </c>
      <c r="I402" s="5" t="s">
        <v>1733</v>
      </c>
      <c r="J402" s="11"/>
      <c r="K402" s="5" t="s">
        <v>1382</v>
      </c>
      <c r="L402" s="19" t="s">
        <v>1599</v>
      </c>
      <c r="M402" s="5" t="s">
        <v>1734</v>
      </c>
      <c r="N402" s="5" t="s">
        <v>1734</v>
      </c>
      <c r="O402" s="20" t="s">
        <v>1735</v>
      </c>
      <c r="P402" s="5" t="s">
        <v>323</v>
      </c>
      <c r="Q402" s="12" t="n">
        <v>0</v>
      </c>
      <c r="R402" s="6" t="s">
        <v>1755</v>
      </c>
      <c r="S402" s="7" t="s">
        <v>1736</v>
      </c>
    </row>
    <row r="403" customFormat="false" ht="23.85" hidden="false" customHeight="false" outlineLevel="0" collapsed="false">
      <c r="A403" s="5" t="s">
        <v>23</v>
      </c>
      <c r="B403" s="5" t="s">
        <v>98</v>
      </c>
      <c r="C403" s="5" t="n">
        <v>4</v>
      </c>
      <c r="D403" s="6" t="s">
        <v>102</v>
      </c>
      <c r="E403" s="5" t="s">
        <v>1667</v>
      </c>
      <c r="F403" s="5" t="s">
        <v>1756</v>
      </c>
      <c r="G403" s="6" t="s">
        <v>1757</v>
      </c>
      <c r="H403" s="6" t="s">
        <v>1758</v>
      </c>
      <c r="I403" s="5" t="s">
        <v>1733</v>
      </c>
      <c r="J403" s="11"/>
      <c r="K403" s="5" t="s">
        <v>1382</v>
      </c>
      <c r="L403" s="19" t="s">
        <v>1599</v>
      </c>
      <c r="M403" s="5" t="s">
        <v>1734</v>
      </c>
      <c r="N403" s="5" t="s">
        <v>1734</v>
      </c>
      <c r="O403" s="20" t="s">
        <v>1735</v>
      </c>
      <c r="P403" s="5" t="s">
        <v>323</v>
      </c>
      <c r="Q403" s="12" t="n">
        <v>0</v>
      </c>
      <c r="R403" s="6" t="s">
        <v>1758</v>
      </c>
      <c r="S403" s="7" t="s">
        <v>1736</v>
      </c>
    </row>
    <row r="404" customFormat="false" ht="23.85" hidden="false" customHeight="false" outlineLevel="0" collapsed="false">
      <c r="A404" s="5" t="s">
        <v>23</v>
      </c>
      <c r="B404" s="5" t="s">
        <v>98</v>
      </c>
      <c r="C404" s="5" t="n">
        <v>4</v>
      </c>
      <c r="D404" s="6" t="s">
        <v>102</v>
      </c>
      <c r="E404" s="5" t="s">
        <v>1667</v>
      </c>
      <c r="F404" s="5" t="s">
        <v>1759</v>
      </c>
      <c r="G404" s="6" t="s">
        <v>1760</v>
      </c>
      <c r="H404" s="6" t="s">
        <v>1761</v>
      </c>
      <c r="I404" s="5" t="s">
        <v>1733</v>
      </c>
      <c r="J404" s="11"/>
      <c r="K404" s="5" t="s">
        <v>1382</v>
      </c>
      <c r="L404" s="19" t="s">
        <v>1599</v>
      </c>
      <c r="M404" s="5" t="s">
        <v>1734</v>
      </c>
      <c r="N404" s="5" t="s">
        <v>1734</v>
      </c>
      <c r="O404" s="20" t="s">
        <v>1735</v>
      </c>
      <c r="P404" s="5" t="s">
        <v>323</v>
      </c>
      <c r="Q404" s="12" t="n">
        <v>0</v>
      </c>
      <c r="R404" s="6" t="s">
        <v>1761</v>
      </c>
      <c r="S404" s="7" t="s">
        <v>1736</v>
      </c>
    </row>
    <row r="405" customFormat="false" ht="23.85" hidden="false" customHeight="false" outlineLevel="0" collapsed="false">
      <c r="A405" s="5" t="s">
        <v>23</v>
      </c>
      <c r="B405" s="5" t="s">
        <v>98</v>
      </c>
      <c r="C405" s="5" t="n">
        <v>5</v>
      </c>
      <c r="D405" s="6" t="s">
        <v>103</v>
      </c>
      <c r="E405" s="5" t="s">
        <v>1667</v>
      </c>
      <c r="F405" s="5" t="s">
        <v>1762</v>
      </c>
      <c r="G405" s="6" t="s">
        <v>1763</v>
      </c>
      <c r="H405" s="6" t="s">
        <v>1764</v>
      </c>
      <c r="I405" s="5" t="s">
        <v>1765</v>
      </c>
      <c r="J405" s="11" t="n">
        <v>46268</v>
      </c>
      <c r="K405" s="5" t="s">
        <v>19</v>
      </c>
      <c r="L405" s="15" t="s">
        <v>132</v>
      </c>
      <c r="M405" s="5" t="s">
        <v>1415</v>
      </c>
      <c r="N405" s="5" t="s">
        <v>1416</v>
      </c>
      <c r="O405" s="15" t="s">
        <v>135</v>
      </c>
      <c r="P405" s="5" t="s">
        <v>1713</v>
      </c>
      <c r="Q405" s="12" t="n">
        <v>1</v>
      </c>
      <c r="R405" s="6" t="s">
        <v>1382</v>
      </c>
      <c r="S405" s="7" t="s">
        <v>1766</v>
      </c>
    </row>
    <row r="406" customFormat="false" ht="23.85" hidden="false" customHeight="false" outlineLevel="0" collapsed="false">
      <c r="A406" s="5" t="s">
        <v>23</v>
      </c>
      <c r="B406" s="5" t="s">
        <v>98</v>
      </c>
      <c r="C406" s="5" t="n">
        <v>5</v>
      </c>
      <c r="D406" s="6" t="s">
        <v>103</v>
      </c>
      <c r="E406" s="5" t="s">
        <v>1667</v>
      </c>
      <c r="F406" s="5" t="s">
        <v>1767</v>
      </c>
      <c r="G406" s="6" t="s">
        <v>1768</v>
      </c>
      <c r="H406" s="6" t="s">
        <v>1769</v>
      </c>
      <c r="I406" s="5" t="s">
        <v>1770</v>
      </c>
      <c r="J406" s="11" t="n">
        <v>46268</v>
      </c>
      <c r="K406" s="5" t="s">
        <v>19</v>
      </c>
      <c r="L406" s="15" t="s">
        <v>132</v>
      </c>
      <c r="M406" s="5" t="s">
        <v>1415</v>
      </c>
      <c r="N406" s="5" t="s">
        <v>1416</v>
      </c>
      <c r="O406" s="15" t="s">
        <v>135</v>
      </c>
      <c r="P406" s="5" t="s">
        <v>1713</v>
      </c>
      <c r="Q406" s="12" t="n">
        <v>1</v>
      </c>
      <c r="R406" s="6" t="s">
        <v>1382</v>
      </c>
      <c r="S406" s="7" t="s">
        <v>1771</v>
      </c>
    </row>
    <row r="407" customFormat="false" ht="23.85" hidden="false" customHeight="false" outlineLevel="0" collapsed="false">
      <c r="A407" s="5" t="s">
        <v>23</v>
      </c>
      <c r="B407" s="5" t="s">
        <v>98</v>
      </c>
      <c r="C407" s="5" t="n">
        <v>5</v>
      </c>
      <c r="D407" s="6" t="s">
        <v>103</v>
      </c>
      <c r="E407" s="5" t="s">
        <v>1667</v>
      </c>
      <c r="F407" s="5" t="s">
        <v>1772</v>
      </c>
      <c r="G407" s="6" t="s">
        <v>1773</v>
      </c>
      <c r="H407" s="6" t="s">
        <v>1774</v>
      </c>
      <c r="I407" s="5" t="s">
        <v>1733</v>
      </c>
      <c r="J407" s="11"/>
      <c r="K407" s="5" t="s">
        <v>1382</v>
      </c>
      <c r="L407" s="19" t="s">
        <v>1599</v>
      </c>
      <c r="M407" s="5" t="s">
        <v>1734</v>
      </c>
      <c r="N407" s="5" t="s">
        <v>1734</v>
      </c>
      <c r="O407" s="20" t="s">
        <v>1735</v>
      </c>
      <c r="P407" s="5" t="s">
        <v>323</v>
      </c>
      <c r="Q407" s="12" t="n">
        <v>0</v>
      </c>
      <c r="R407" s="6" t="s">
        <v>1774</v>
      </c>
      <c r="S407" s="7" t="s">
        <v>1736</v>
      </c>
    </row>
    <row r="408" customFormat="false" ht="23.85" hidden="false" customHeight="false" outlineLevel="0" collapsed="false">
      <c r="A408" s="5" t="s">
        <v>23</v>
      </c>
      <c r="B408" s="5" t="s">
        <v>98</v>
      </c>
      <c r="C408" s="5" t="n">
        <v>6</v>
      </c>
      <c r="D408" s="6" t="s">
        <v>104</v>
      </c>
      <c r="E408" s="5" t="s">
        <v>1667</v>
      </c>
      <c r="F408" s="5" t="s">
        <v>1775</v>
      </c>
      <c r="G408" s="6" t="s">
        <v>1776</v>
      </c>
      <c r="H408" s="6" t="s">
        <v>1777</v>
      </c>
      <c r="I408" s="5" t="s">
        <v>1778</v>
      </c>
      <c r="J408" s="11" t="n">
        <v>46268</v>
      </c>
      <c r="K408" s="5" t="s">
        <v>19</v>
      </c>
      <c r="L408" s="15" t="s">
        <v>132</v>
      </c>
      <c r="M408" s="5" t="s">
        <v>1415</v>
      </c>
      <c r="N408" s="5" t="s">
        <v>1416</v>
      </c>
      <c r="O408" s="15" t="s">
        <v>135</v>
      </c>
      <c r="P408" s="5" t="s">
        <v>1713</v>
      </c>
      <c r="Q408" s="12" t="n">
        <v>1</v>
      </c>
      <c r="R408" s="6" t="s">
        <v>1382</v>
      </c>
      <c r="S408" s="7" t="s">
        <v>1779</v>
      </c>
    </row>
    <row r="409" customFormat="false" ht="23.85" hidden="false" customHeight="false" outlineLevel="0" collapsed="false">
      <c r="A409" s="5" t="s">
        <v>23</v>
      </c>
      <c r="B409" s="5" t="s">
        <v>98</v>
      </c>
      <c r="C409" s="5" t="n">
        <v>6</v>
      </c>
      <c r="D409" s="6" t="s">
        <v>104</v>
      </c>
      <c r="E409" s="5" t="s">
        <v>1667</v>
      </c>
      <c r="F409" s="5" t="s">
        <v>1780</v>
      </c>
      <c r="G409" s="6" t="s">
        <v>1781</v>
      </c>
      <c r="H409" s="6" t="s">
        <v>1782</v>
      </c>
      <c r="I409" s="5" t="s">
        <v>1783</v>
      </c>
      <c r="J409" s="11" t="n">
        <v>46268</v>
      </c>
      <c r="K409" s="5" t="s">
        <v>19</v>
      </c>
      <c r="L409" s="15" t="s">
        <v>132</v>
      </c>
      <c r="M409" s="5" t="s">
        <v>1415</v>
      </c>
      <c r="N409" s="5" t="s">
        <v>1416</v>
      </c>
      <c r="O409" s="15" t="s">
        <v>135</v>
      </c>
      <c r="P409" s="5" t="s">
        <v>1713</v>
      </c>
      <c r="Q409" s="12" t="n">
        <v>1</v>
      </c>
      <c r="R409" s="6" t="s">
        <v>1382</v>
      </c>
      <c r="S409" s="7" t="s">
        <v>1784</v>
      </c>
    </row>
    <row r="410" customFormat="false" ht="23.85" hidden="false" customHeight="false" outlineLevel="0" collapsed="false">
      <c r="A410" s="5" t="s">
        <v>23</v>
      </c>
      <c r="B410" s="5" t="s">
        <v>98</v>
      </c>
      <c r="C410" s="5" t="n">
        <v>6</v>
      </c>
      <c r="D410" s="6" t="s">
        <v>104</v>
      </c>
      <c r="E410" s="5" t="s">
        <v>1667</v>
      </c>
      <c r="F410" s="5" t="s">
        <v>1785</v>
      </c>
      <c r="G410" s="6" t="s">
        <v>1786</v>
      </c>
      <c r="H410" s="6" t="s">
        <v>1787</v>
      </c>
      <c r="I410" s="5" t="s">
        <v>1788</v>
      </c>
      <c r="J410" s="11" t="n">
        <v>46268</v>
      </c>
      <c r="K410" s="5" t="s">
        <v>19</v>
      </c>
      <c r="L410" s="15" t="s">
        <v>132</v>
      </c>
      <c r="M410" s="5" t="s">
        <v>1415</v>
      </c>
      <c r="N410" s="5" t="s">
        <v>1416</v>
      </c>
      <c r="O410" s="15" t="s">
        <v>135</v>
      </c>
      <c r="P410" s="5" t="s">
        <v>1713</v>
      </c>
      <c r="Q410" s="12" t="n">
        <v>1</v>
      </c>
      <c r="R410" s="6" t="s">
        <v>1382</v>
      </c>
      <c r="S410" s="7" t="s">
        <v>1789</v>
      </c>
    </row>
    <row r="411" customFormat="false" ht="23.85" hidden="false" customHeight="false" outlineLevel="0" collapsed="false">
      <c r="A411" s="5" t="s">
        <v>23</v>
      </c>
      <c r="B411" s="5" t="s">
        <v>98</v>
      </c>
      <c r="C411" s="5" t="n">
        <v>6</v>
      </c>
      <c r="D411" s="6" t="s">
        <v>104</v>
      </c>
      <c r="E411" s="5" t="s">
        <v>1667</v>
      </c>
      <c r="F411" s="5" t="s">
        <v>1790</v>
      </c>
      <c r="G411" s="6" t="s">
        <v>1791</v>
      </c>
      <c r="H411" s="6" t="s">
        <v>1792</v>
      </c>
      <c r="I411" s="5" t="s">
        <v>1793</v>
      </c>
      <c r="J411" s="11" t="n">
        <v>46268</v>
      </c>
      <c r="K411" s="5" t="s">
        <v>19</v>
      </c>
      <c r="L411" s="15" t="s">
        <v>132</v>
      </c>
      <c r="M411" s="5" t="s">
        <v>1415</v>
      </c>
      <c r="N411" s="5" t="s">
        <v>1416</v>
      </c>
      <c r="O411" s="15" t="s">
        <v>135</v>
      </c>
      <c r="P411" s="5" t="s">
        <v>1713</v>
      </c>
      <c r="Q411" s="12" t="n">
        <v>1</v>
      </c>
      <c r="R411" s="6" t="s">
        <v>1382</v>
      </c>
      <c r="S411" s="7" t="s">
        <v>1794</v>
      </c>
    </row>
    <row r="412" customFormat="false" ht="23.85" hidden="false" customHeight="false" outlineLevel="0" collapsed="false">
      <c r="A412" s="5" t="s">
        <v>23</v>
      </c>
      <c r="B412" s="5" t="s">
        <v>98</v>
      </c>
      <c r="C412" s="5" t="n">
        <v>6</v>
      </c>
      <c r="D412" s="6" t="s">
        <v>104</v>
      </c>
      <c r="E412" s="5" t="s">
        <v>1667</v>
      </c>
      <c r="F412" s="5" t="s">
        <v>1795</v>
      </c>
      <c r="G412" s="6" t="s">
        <v>1796</v>
      </c>
      <c r="H412" s="6" t="s">
        <v>1797</v>
      </c>
      <c r="I412" s="5" t="s">
        <v>1733</v>
      </c>
      <c r="J412" s="11"/>
      <c r="K412" s="5" t="s">
        <v>1382</v>
      </c>
      <c r="L412" s="19" t="s">
        <v>1599</v>
      </c>
      <c r="M412" s="5" t="s">
        <v>1734</v>
      </c>
      <c r="N412" s="5" t="s">
        <v>1734</v>
      </c>
      <c r="O412" s="20" t="s">
        <v>1735</v>
      </c>
      <c r="P412" s="5" t="s">
        <v>323</v>
      </c>
      <c r="Q412" s="12" t="n">
        <v>0</v>
      </c>
      <c r="R412" s="6" t="s">
        <v>1797</v>
      </c>
      <c r="S412" s="7" t="s">
        <v>1736</v>
      </c>
    </row>
    <row r="413" customFormat="false" ht="23.85" hidden="false" customHeight="false" outlineLevel="0" collapsed="false">
      <c r="A413" s="5" t="s">
        <v>23</v>
      </c>
      <c r="B413" s="5" t="s">
        <v>98</v>
      </c>
      <c r="C413" s="5" t="n">
        <v>6</v>
      </c>
      <c r="D413" s="6" t="s">
        <v>104</v>
      </c>
      <c r="E413" s="5" t="s">
        <v>1667</v>
      </c>
      <c r="F413" s="5" t="s">
        <v>1798</v>
      </c>
      <c r="G413" s="6" t="s">
        <v>1799</v>
      </c>
      <c r="H413" s="6" t="s">
        <v>1800</v>
      </c>
      <c r="I413" s="5" t="s">
        <v>1733</v>
      </c>
      <c r="J413" s="11"/>
      <c r="K413" s="5" t="s">
        <v>1382</v>
      </c>
      <c r="L413" s="19" t="s">
        <v>1599</v>
      </c>
      <c r="M413" s="5" t="s">
        <v>1734</v>
      </c>
      <c r="N413" s="5" t="s">
        <v>1734</v>
      </c>
      <c r="O413" s="20" t="s">
        <v>1735</v>
      </c>
      <c r="P413" s="5" t="s">
        <v>323</v>
      </c>
      <c r="Q413" s="12" t="n">
        <v>0</v>
      </c>
      <c r="R413" s="6" t="s">
        <v>1800</v>
      </c>
      <c r="S413" s="7" t="s">
        <v>1736</v>
      </c>
    </row>
    <row r="414" customFormat="false" ht="23.85" hidden="false" customHeight="false" outlineLevel="0" collapsed="false">
      <c r="A414" s="5" t="s">
        <v>23</v>
      </c>
      <c r="B414" s="5" t="s">
        <v>98</v>
      </c>
      <c r="C414" s="5" t="n">
        <v>7</v>
      </c>
      <c r="D414" s="6" t="s">
        <v>105</v>
      </c>
      <c r="E414" s="5" t="s">
        <v>1667</v>
      </c>
      <c r="F414" s="5" t="s">
        <v>1801</v>
      </c>
      <c r="G414" s="6" t="s">
        <v>1802</v>
      </c>
      <c r="H414" s="6" t="s">
        <v>1803</v>
      </c>
      <c r="I414" s="5" t="s">
        <v>1804</v>
      </c>
      <c r="J414" s="11" t="n">
        <v>46268</v>
      </c>
      <c r="K414" s="5" t="s">
        <v>19</v>
      </c>
      <c r="L414" s="15" t="s">
        <v>132</v>
      </c>
      <c r="M414" s="5" t="s">
        <v>1415</v>
      </c>
      <c r="N414" s="5" t="s">
        <v>1416</v>
      </c>
      <c r="O414" s="15" t="s">
        <v>135</v>
      </c>
      <c r="P414" s="5" t="s">
        <v>1713</v>
      </c>
      <c r="Q414" s="12" t="n">
        <v>1</v>
      </c>
      <c r="R414" s="6" t="s">
        <v>1382</v>
      </c>
      <c r="S414" s="7" t="s">
        <v>1805</v>
      </c>
    </row>
    <row r="415" customFormat="false" ht="23.85" hidden="false" customHeight="false" outlineLevel="0" collapsed="false">
      <c r="A415" s="5" t="s">
        <v>23</v>
      </c>
      <c r="B415" s="5" t="s">
        <v>98</v>
      </c>
      <c r="C415" s="5" t="n">
        <v>7</v>
      </c>
      <c r="D415" s="6" t="s">
        <v>105</v>
      </c>
      <c r="E415" s="5" t="s">
        <v>1667</v>
      </c>
      <c r="F415" s="5" t="s">
        <v>1806</v>
      </c>
      <c r="G415" s="6" t="s">
        <v>1807</v>
      </c>
      <c r="H415" s="6" t="s">
        <v>1808</v>
      </c>
      <c r="I415" s="5" t="s">
        <v>1809</v>
      </c>
      <c r="J415" s="11" t="n">
        <v>46268</v>
      </c>
      <c r="K415" s="5" t="s">
        <v>19</v>
      </c>
      <c r="L415" s="15" t="s">
        <v>132</v>
      </c>
      <c r="M415" s="5" t="s">
        <v>1415</v>
      </c>
      <c r="N415" s="5" t="s">
        <v>1416</v>
      </c>
      <c r="O415" s="15" t="s">
        <v>135</v>
      </c>
      <c r="P415" s="5" t="s">
        <v>1713</v>
      </c>
      <c r="Q415" s="12" t="n">
        <v>1</v>
      </c>
      <c r="R415" s="6" t="s">
        <v>1382</v>
      </c>
      <c r="S415" s="7" t="s">
        <v>1810</v>
      </c>
    </row>
    <row r="416" customFormat="false" ht="23.85" hidden="false" customHeight="false" outlineLevel="0" collapsed="false">
      <c r="A416" s="5" t="s">
        <v>23</v>
      </c>
      <c r="B416" s="5" t="s">
        <v>98</v>
      </c>
      <c r="C416" s="5" t="n">
        <v>7</v>
      </c>
      <c r="D416" s="6" t="s">
        <v>105</v>
      </c>
      <c r="E416" s="5" t="s">
        <v>1667</v>
      </c>
      <c r="F416" s="5" t="s">
        <v>1811</v>
      </c>
      <c r="G416" s="6" t="s">
        <v>1812</v>
      </c>
      <c r="H416" s="6" t="s">
        <v>1813</v>
      </c>
      <c r="I416" s="5" t="s">
        <v>1733</v>
      </c>
      <c r="J416" s="11"/>
      <c r="K416" s="5" t="s">
        <v>1382</v>
      </c>
      <c r="L416" s="19" t="s">
        <v>1599</v>
      </c>
      <c r="M416" s="5" t="s">
        <v>1734</v>
      </c>
      <c r="N416" s="5" t="s">
        <v>1734</v>
      </c>
      <c r="O416" s="20" t="s">
        <v>1735</v>
      </c>
      <c r="P416" s="5" t="s">
        <v>323</v>
      </c>
      <c r="Q416" s="12" t="n">
        <v>0</v>
      </c>
      <c r="R416" s="6" t="s">
        <v>1813</v>
      </c>
      <c r="S416" s="7" t="s">
        <v>1736</v>
      </c>
    </row>
    <row r="417" customFormat="false" ht="23.85" hidden="false" customHeight="false" outlineLevel="0" collapsed="false">
      <c r="A417" s="5" t="s">
        <v>23</v>
      </c>
      <c r="B417" s="5" t="s">
        <v>98</v>
      </c>
      <c r="C417" s="5" t="n">
        <v>8</v>
      </c>
      <c r="D417" s="6" t="s">
        <v>106</v>
      </c>
      <c r="E417" s="5" t="s">
        <v>1667</v>
      </c>
      <c r="F417" s="5" t="s">
        <v>1814</v>
      </c>
      <c r="G417" s="6" t="s">
        <v>1815</v>
      </c>
      <c r="H417" s="6" t="s">
        <v>1816</v>
      </c>
      <c r="I417" s="5" t="s">
        <v>1817</v>
      </c>
      <c r="J417" s="11" t="n">
        <v>46268</v>
      </c>
      <c r="K417" s="5" t="s">
        <v>19</v>
      </c>
      <c r="L417" s="15" t="s">
        <v>132</v>
      </c>
      <c r="M417" s="5" t="s">
        <v>1415</v>
      </c>
      <c r="N417" s="5" t="s">
        <v>1416</v>
      </c>
      <c r="O417" s="15" t="s">
        <v>135</v>
      </c>
      <c r="P417" s="5" t="s">
        <v>1713</v>
      </c>
      <c r="Q417" s="12" t="n">
        <v>1</v>
      </c>
      <c r="R417" s="6" t="s">
        <v>1382</v>
      </c>
      <c r="S417" s="7" t="s">
        <v>1818</v>
      </c>
    </row>
    <row r="418" customFormat="false" ht="15" hidden="false" customHeight="false" outlineLevel="0" collapsed="false">
      <c r="A418" s="5" t="s">
        <v>23</v>
      </c>
      <c r="B418" s="5" t="s">
        <v>98</v>
      </c>
      <c r="C418" s="5" t="n">
        <v>8</v>
      </c>
      <c r="D418" s="6" t="s">
        <v>106</v>
      </c>
      <c r="E418" s="5" t="s">
        <v>1667</v>
      </c>
      <c r="F418" s="5" t="s">
        <v>1819</v>
      </c>
      <c r="G418" s="6" t="s">
        <v>1820</v>
      </c>
      <c r="H418" s="6" t="s">
        <v>1821</v>
      </c>
      <c r="I418" s="5" t="s">
        <v>1733</v>
      </c>
      <c r="J418" s="11"/>
      <c r="K418" s="5" t="s">
        <v>1382</v>
      </c>
      <c r="L418" s="19" t="s">
        <v>1599</v>
      </c>
      <c r="M418" s="5" t="s">
        <v>1734</v>
      </c>
      <c r="N418" s="5" t="s">
        <v>1734</v>
      </c>
      <c r="O418" s="20" t="s">
        <v>1735</v>
      </c>
      <c r="P418" s="5" t="s">
        <v>323</v>
      </c>
      <c r="Q418" s="12" t="n">
        <v>0</v>
      </c>
      <c r="R418" s="6" t="s">
        <v>1821</v>
      </c>
      <c r="S418" s="7" t="s">
        <v>1736</v>
      </c>
    </row>
    <row r="419" customFormat="false" ht="23.85" hidden="false" customHeight="false" outlineLevel="0" collapsed="false">
      <c r="A419" s="5" t="s">
        <v>23</v>
      </c>
      <c r="B419" s="5" t="s">
        <v>98</v>
      </c>
      <c r="C419" s="5" t="n">
        <v>9</v>
      </c>
      <c r="D419" s="6" t="s">
        <v>107</v>
      </c>
      <c r="E419" s="5" t="s">
        <v>1667</v>
      </c>
      <c r="F419" s="5" t="s">
        <v>1822</v>
      </c>
      <c r="G419" s="6" t="s">
        <v>1823</v>
      </c>
      <c r="H419" s="6" t="s">
        <v>1824</v>
      </c>
      <c r="I419" s="5" t="s">
        <v>1825</v>
      </c>
      <c r="J419" s="11" t="n">
        <v>46268</v>
      </c>
      <c r="K419" s="5" t="s">
        <v>19</v>
      </c>
      <c r="L419" s="15" t="s">
        <v>132</v>
      </c>
      <c r="M419" s="5" t="s">
        <v>1415</v>
      </c>
      <c r="N419" s="5" t="s">
        <v>1416</v>
      </c>
      <c r="O419" s="15" t="s">
        <v>135</v>
      </c>
      <c r="P419" s="5" t="s">
        <v>1713</v>
      </c>
      <c r="Q419" s="12" t="n">
        <v>1</v>
      </c>
      <c r="R419" s="6" t="s">
        <v>1382</v>
      </c>
      <c r="S419" s="7" t="s">
        <v>1826</v>
      </c>
    </row>
    <row r="420" customFormat="false" ht="23.85" hidden="false" customHeight="false" outlineLevel="0" collapsed="false">
      <c r="A420" s="5" t="s">
        <v>23</v>
      </c>
      <c r="B420" s="5" t="s">
        <v>98</v>
      </c>
      <c r="C420" s="5" t="n">
        <v>9</v>
      </c>
      <c r="D420" s="6" t="s">
        <v>107</v>
      </c>
      <c r="E420" s="5" t="s">
        <v>1667</v>
      </c>
      <c r="F420" s="5" t="s">
        <v>1827</v>
      </c>
      <c r="G420" s="6" t="s">
        <v>1828</v>
      </c>
      <c r="H420" s="6" t="s">
        <v>1829</v>
      </c>
      <c r="I420" s="5" t="s">
        <v>1830</v>
      </c>
      <c r="J420" s="11" t="n">
        <v>46268</v>
      </c>
      <c r="K420" s="5" t="s">
        <v>19</v>
      </c>
      <c r="L420" s="15" t="s">
        <v>132</v>
      </c>
      <c r="M420" s="5" t="s">
        <v>1415</v>
      </c>
      <c r="N420" s="5" t="s">
        <v>1416</v>
      </c>
      <c r="O420" s="15" t="s">
        <v>135</v>
      </c>
      <c r="P420" s="5" t="s">
        <v>1713</v>
      </c>
      <c r="Q420" s="12" t="n">
        <v>1</v>
      </c>
      <c r="R420" s="6" t="s">
        <v>1382</v>
      </c>
      <c r="S420" s="7" t="s">
        <v>1831</v>
      </c>
    </row>
    <row r="421" customFormat="false" ht="23.85" hidden="false" customHeight="false" outlineLevel="0" collapsed="false">
      <c r="A421" s="5" t="s">
        <v>23</v>
      </c>
      <c r="B421" s="5" t="s">
        <v>98</v>
      </c>
      <c r="C421" s="5" t="n">
        <v>9</v>
      </c>
      <c r="D421" s="6" t="s">
        <v>107</v>
      </c>
      <c r="E421" s="5" t="s">
        <v>1667</v>
      </c>
      <c r="F421" s="5" t="s">
        <v>1832</v>
      </c>
      <c r="G421" s="6" t="s">
        <v>1833</v>
      </c>
      <c r="H421" s="6" t="s">
        <v>1834</v>
      </c>
      <c r="I421" s="5" t="s">
        <v>1835</v>
      </c>
      <c r="J421" s="11" t="n">
        <v>46268</v>
      </c>
      <c r="K421" s="5" t="s">
        <v>19</v>
      </c>
      <c r="L421" s="15" t="s">
        <v>132</v>
      </c>
      <c r="M421" s="5" t="s">
        <v>1415</v>
      </c>
      <c r="N421" s="5" t="s">
        <v>1416</v>
      </c>
      <c r="O421" s="15" t="s">
        <v>135</v>
      </c>
      <c r="P421" s="5" t="s">
        <v>1713</v>
      </c>
      <c r="Q421" s="12" t="n">
        <v>1</v>
      </c>
      <c r="R421" s="6" t="s">
        <v>1382</v>
      </c>
      <c r="S421" s="7" t="s">
        <v>1836</v>
      </c>
    </row>
    <row r="422" customFormat="false" ht="23.85" hidden="false" customHeight="false" outlineLevel="0" collapsed="false">
      <c r="A422" s="5" t="s">
        <v>23</v>
      </c>
      <c r="B422" s="5" t="s">
        <v>98</v>
      </c>
      <c r="C422" s="5" t="n">
        <v>9</v>
      </c>
      <c r="D422" s="6" t="s">
        <v>107</v>
      </c>
      <c r="E422" s="5" t="s">
        <v>1667</v>
      </c>
      <c r="F422" s="5" t="s">
        <v>1837</v>
      </c>
      <c r="G422" s="6" t="s">
        <v>1838</v>
      </c>
      <c r="H422" s="6" t="s">
        <v>1839</v>
      </c>
      <c r="I422" s="5" t="s">
        <v>1840</v>
      </c>
      <c r="J422" s="11" t="n">
        <v>46268</v>
      </c>
      <c r="K422" s="5" t="s">
        <v>19</v>
      </c>
      <c r="L422" s="15" t="s">
        <v>132</v>
      </c>
      <c r="M422" s="5" t="s">
        <v>1415</v>
      </c>
      <c r="N422" s="5" t="s">
        <v>1416</v>
      </c>
      <c r="O422" s="15" t="s">
        <v>135</v>
      </c>
      <c r="P422" s="5" t="s">
        <v>1713</v>
      </c>
      <c r="Q422" s="12" t="n">
        <v>1</v>
      </c>
      <c r="R422" s="6" t="s">
        <v>1382</v>
      </c>
      <c r="S422" s="7" t="s">
        <v>1841</v>
      </c>
    </row>
    <row r="423" customFormat="false" ht="23.85" hidden="false" customHeight="false" outlineLevel="0" collapsed="false">
      <c r="A423" s="5" t="s">
        <v>23</v>
      </c>
      <c r="B423" s="5" t="s">
        <v>98</v>
      </c>
      <c r="C423" s="5" t="n">
        <v>10</v>
      </c>
      <c r="D423" s="6" t="s">
        <v>108</v>
      </c>
      <c r="E423" s="5" t="s">
        <v>1667</v>
      </c>
      <c r="F423" s="5" t="s">
        <v>1842</v>
      </c>
      <c r="G423" s="6" t="s">
        <v>1843</v>
      </c>
      <c r="H423" s="6" t="s">
        <v>1844</v>
      </c>
      <c r="I423" s="5" t="s">
        <v>1733</v>
      </c>
      <c r="J423" s="11"/>
      <c r="K423" s="5" t="s">
        <v>1382</v>
      </c>
      <c r="L423" s="19" t="s">
        <v>1599</v>
      </c>
      <c r="M423" s="5" t="s">
        <v>1734</v>
      </c>
      <c r="N423" s="5" t="s">
        <v>1734</v>
      </c>
      <c r="O423" s="20" t="s">
        <v>1735</v>
      </c>
      <c r="P423" s="5" t="s">
        <v>323</v>
      </c>
      <c r="Q423" s="12" t="n">
        <v>0</v>
      </c>
      <c r="R423" s="6" t="s">
        <v>1844</v>
      </c>
      <c r="S423" s="7" t="s">
        <v>1736</v>
      </c>
    </row>
  </sheetData>
  <autoFilter ref="A1:S423"/>
  <dataValidations count="1">
    <dataValidation allowBlank="true" errorStyle="stop" operator="between" showDropDown="false" showErrorMessage="false" showInputMessage="false" sqref="O2:O423" type="list">
      <formula1>"COMPLETED,IMPLEMENTED BUT NOT VERIFIED,BLOCKED,IN PROGRESS,IN REVIEW (open PR),IN REVIEW (draft PR),SUPERSEDED,NOT STARTED"</formula1>
      <formula2>0</formula2>
    </dataValidation>
  </dataValidations>
  <hyperlinks>
    <hyperlink ref="S2" r:id="rId1" display="https://github.com/sanjaymorankar-debug/ATIP-DEV/blob/master/docs/ATIP_MASTER_TRACKER.csv"/>
    <hyperlink ref="S3" r:id="rId2" display="https://github.com/sanjaymorankar-debug/ATIP-DEV/blob/master/docs/ATIP_MASTER_TRACKER.csv"/>
    <hyperlink ref="S4" r:id="rId3" display="https://github.com/sanjaymorankar-debug/ATIP-DEV/blob/master/docs/ATIP_MASTER_TRACKER.csv"/>
    <hyperlink ref="S5" r:id="rId4" display="https://github.com/sanjaymorankar-debug/ATIP-DEV/blob/master/docs/ATIP_MASTER_TRACKER.csv"/>
    <hyperlink ref="S6" r:id="rId5" display="https://github.com/sanjaymorankar-debug/ATIP-DEV/blob/master/docs/ATIP_MASTER_TRACKER.csv"/>
    <hyperlink ref="S7" r:id="rId6" display="https://github.com/sanjaymorankar-debug/ATIP-DEV/blob/master/docs/ATIP_MASTER_TRACKER.csv"/>
    <hyperlink ref="S8" r:id="rId7" display="https://github.com/sanjaymorankar-debug/ATIP-DEV/blob/master/docs/ATIP_MASTER_TRACKER.csv"/>
    <hyperlink ref="S9" r:id="rId8" display="https://github.com/sanjaymorankar-debug/ATIP-DEV/blob/master/docs/ATIP_MASTER_TRACKER.csv"/>
    <hyperlink ref="S10" r:id="rId9" display="https://github.com/sanjaymorankar-debug/ATIP-DEV/blob/master/docs/ATIP_MASTER_TRACKER.csv"/>
    <hyperlink ref="S11" r:id="rId10" display="https://github.com/sanjaymorankar-debug/ATIP-DEV/blob/master/docs/ATIP_MASTER_TRACKER.csv"/>
    <hyperlink ref="S12" r:id="rId11" display="https://github.com/sanjaymorankar-debug/ATIP-DEV/blob/master/docs/ATIP_MASTER_TRACKER.csv"/>
    <hyperlink ref="S13" r:id="rId12" display="https://github.com/sanjaymorankar-debug/ATIP-DEV/blob/master/docs/ATIP_MASTER_TRACKER.csv"/>
    <hyperlink ref="S14" r:id="rId13" display="https://github.com/sanjaymorankar-debug/ATIP-DEV/blob/master/docs/ATIP_MASTER_TRACKER.csv"/>
    <hyperlink ref="S15" r:id="rId14" display="https://github.com/sanjaymorankar-debug/ATIP-DEV/blob/master/docs/ATIP_MASTER_TRACKER.csv"/>
    <hyperlink ref="S16" r:id="rId15" display="https://github.com/sanjaymorankar-debug/ATIP-DEV/blob/master/docs/ATIP_MASTER_TRACKER.csv"/>
    <hyperlink ref="S17" r:id="rId16" display="https://github.com/sanjaymorankar-debug/ATIP-DEV/blob/master/docs/ATIP_MASTER_TRACKER.csv"/>
    <hyperlink ref="S18" r:id="rId17" display="https://github.com/sanjaymorankar-debug/ATIP-DEV/blob/master/docs/ATIP_MASTER_TRACKER.csv"/>
    <hyperlink ref="S19" r:id="rId18" display="https://github.com/sanjaymorankar-debug/ATIP-DEV/blob/master/docs/ATIP_MASTER_TRACKER.csv"/>
    <hyperlink ref="S20" r:id="rId19" display="https://github.com/sanjaymorankar-debug/ATIP-DEV/blob/master/docs/ATIP_MASTER_TRACKER.csv"/>
    <hyperlink ref="S21" r:id="rId20" display="https://github.com/sanjaymorankar-debug/ATIP-DEV/blob/master/docs/ATIP_MASTER_TRACKER.csv"/>
    <hyperlink ref="S22" r:id="rId21" display="https://github.com/sanjaymorankar-debug/ATIP-DEV/blob/master/docs/ATIP_MASTER_TRACKER.csv"/>
    <hyperlink ref="S23" r:id="rId22" display="https://github.com/sanjaymorankar-debug/ATIP-DEV/blob/master/docs/ATIP_MASTER_TRACKER.csv"/>
    <hyperlink ref="S24" r:id="rId23" display="https://github.com/sanjaymorankar-debug/ATIP-DEV/blob/master/docs/ATIP_MASTER_TRACKER.csv"/>
    <hyperlink ref="S25" r:id="rId24" display="https://github.com/sanjaymorankar-debug/ATIP-DEV/blob/master/docs/ATIP_MASTER_TRACKER.csv"/>
    <hyperlink ref="S26" r:id="rId25" display="https://github.com/sanjaymorankar-debug/ATIP-DEV/blob/master/docs/ATIP_MASTER_TRACKER.csv"/>
    <hyperlink ref="S27" r:id="rId26" display="https://github.com/sanjaymorankar-debug/ATIP-DEV/blob/master/docs/ATIP_MASTER_TRACKER.csv"/>
    <hyperlink ref="S28" r:id="rId27" display="https://github.com/sanjaymorankar-debug/ATIP-DEV/blob/master/docs/ATIP_MASTER_TRACKER.csv"/>
    <hyperlink ref="S29" r:id="rId28" display="https://github.com/sanjaymorankar-debug/ATIP-DEV/blob/master/docs/ATIP_MASTER_TRACKER.csv"/>
    <hyperlink ref="S30" r:id="rId29" display="https://github.com/sanjaymorankar-debug/ATIP-DEV/blob/master/docs/ATIP_MASTER_TRACKER.csv"/>
    <hyperlink ref="S31" r:id="rId30" display="https://github.com/sanjaymorankar-debug/ATIP-DEV/blob/master/docs/ATIP_MASTER_TRACKER.csv"/>
    <hyperlink ref="S32" r:id="rId31" display="https://github.com/sanjaymorankar-debug/ATIP-DEV/blob/master/docs/ATIP_MASTER_TRACKER.csv"/>
    <hyperlink ref="S33" r:id="rId32" display="https://github.com/sanjaymorankar-debug/ATIP-DEV/blob/master/docs/ATIP_MASTER_TRACKER.csv"/>
    <hyperlink ref="S34" r:id="rId33" display="https://github.com/sanjaymorankar-debug/ATIP-DEV/blob/master/docs/ATIP_MASTER_TRACKER.csv"/>
    <hyperlink ref="S35" r:id="rId34" display="https://github.com/sanjaymorankar-debug/ATIP-DEV/blob/master/docs/ATIP_MASTER_TRACKER.csv"/>
    <hyperlink ref="S36" r:id="rId35" display="https://github.com/sanjaymorankar-debug/ATIP-DEV/blob/master/docs/ATIP_MASTER_TRACKER.csv"/>
    <hyperlink ref="S37" r:id="rId36" display="https://github.com/sanjaymorankar-debug/ATIP-DEV/blob/master/docs/ATIP_MASTER_TRACKER.csv"/>
    <hyperlink ref="S38" r:id="rId37" display="https://github.com/sanjaymorankar-debug/ATIP-DEV/blob/master/docs/ATIP_MASTER_TRACKER.csv"/>
    <hyperlink ref="S39" r:id="rId38" display="https://github.com/sanjaymorankar-debug/ATIP-DEV/blob/master/docs/ATIP_MASTER_TRACKER.csv"/>
    <hyperlink ref="S40" r:id="rId39" display="https://github.com/sanjaymorankar-debug/ATIP-DEV/blob/master/docs/ATIP_MASTER_TRACKER.csv"/>
    <hyperlink ref="S41" r:id="rId40" display="https://github.com/sanjaymorankar-debug/ATIP-DEV/blob/master/docs/ATIP_MASTER_TRACKER.csv"/>
    <hyperlink ref="S42" r:id="rId41" display="https://github.com/sanjaymorankar-debug/ATIP-DEV/blob/master/docs/ATIP_MASTER_TRACKER.csv"/>
    <hyperlink ref="S43" r:id="rId42" display="https://github.com/sanjaymorankar-debug/ATIP-DEV/blob/master/docs/ATIP_MASTER_TRACKER.csv"/>
    <hyperlink ref="S44" r:id="rId43" display="https://github.com/sanjaymorankar-debug/ATIP-DEV/blob/master/docs/ATIP_MASTER_TRACKER.csv"/>
    <hyperlink ref="S45" r:id="rId44" display="https://github.com/sanjaymorankar-debug/ATIP-DEV/blob/master/docs/ATIP_MASTER_TRACKER.csv"/>
    <hyperlink ref="S46" r:id="rId45" display="https://github.com/sanjaymorankar-debug/ATIP-DEV/blob/master/docs/ATIP_MASTER_TRACKER.csv"/>
    <hyperlink ref="S47" r:id="rId46" display="https://github.com/sanjaymorankar-debug/ATIP-DEV/blob/master/docs/ATIP_MASTER_TRACKER.csv"/>
    <hyperlink ref="S48" r:id="rId47" display="https://github.com/sanjaymorankar-debug/ATIP-DEV/blob/master/docs/ATIP_MASTER_TRACKER.csv"/>
    <hyperlink ref="S49" r:id="rId48" display="https://github.com/sanjaymorankar-debug/ATIP-DEV/blob/master/docs/ATIP_MASTER_TRACKER.csv"/>
    <hyperlink ref="S50" r:id="rId49" display="https://github.com/sanjaymorankar-debug/ATIP-DEV/blob/master/docs/ATIP_MASTER_TRACKER.csv"/>
    <hyperlink ref="S51" r:id="rId50" display="https://github.com/sanjaymorankar-debug/ATIP-DEV/blob/master/docs/ATIP_MASTER_TRACKER.csv"/>
    <hyperlink ref="S52" r:id="rId51" display="https://github.com/sanjaymorankar-debug/ATIP-DEV/blob/master/docs/ATIP_MASTER_TRACKER.csv"/>
    <hyperlink ref="S53" r:id="rId52" display="https://github.com/sanjaymorankar-debug/ATIP-DEV/blob/master/docs/ATIP_MASTER_TRACKER.csv"/>
    <hyperlink ref="S54" r:id="rId53" display="https://github.com/sanjaymorankar-debug/ATIP-DEV/blob/master/docs/ATIP_MASTER_TRACKER.csv"/>
    <hyperlink ref="S55" r:id="rId54" display="https://github.com/sanjaymorankar-debug/ATIP-DEV/blob/master/docs/ATIP_MASTER_TRACKER.csv"/>
    <hyperlink ref="S56" r:id="rId55" display="https://github.com/sanjaymorankar-debug/ATIP-DEV/blob/master/docs/ATIP_MASTER_TRACKER.csv"/>
    <hyperlink ref="S57" r:id="rId56" display="https://github.com/sanjaymorankar-debug/ATIP-DEV/blob/master/docs/ATIP_MASTER_TRACKER.csv"/>
    <hyperlink ref="S58" r:id="rId57" display="https://github.com/sanjaymorankar-debug/ATIP-DEV/blob/master/docs/ATIP_MASTER_TRACKER.csv"/>
    <hyperlink ref="S59" r:id="rId58" display="https://github.com/sanjaymorankar-debug/ATIP-DEV/blob/master/docs/ATIP_MASTER_TRACKER.csv"/>
    <hyperlink ref="S60" r:id="rId59" display="https://github.com/sanjaymorankar-debug/ATIP-DEV/blob/master/docs/ATIP_MASTER_TRACKER.csv"/>
    <hyperlink ref="S61" r:id="rId60" display="https://github.com/sanjaymorankar-debug/ATIP-DEV/blob/master/docs/ATIP_MASTER_TRACKER.csv"/>
    <hyperlink ref="S62" r:id="rId61" display="https://github.com/sanjaymorankar-debug/ATIP-DEV/blob/master/docs/ATIP_MASTER_TRACKER.csv"/>
    <hyperlink ref="S63" r:id="rId62" display="https://github.com/sanjaymorankar-debug/ATIP-DEV/blob/master/docs/ATIP_MASTER_TRACKER.csv"/>
    <hyperlink ref="S64" r:id="rId63" display="https://github.com/sanjaymorankar-debug/ATIP-DEV/blob/master/docs/ATIP_MASTER_TRACKER.csv"/>
    <hyperlink ref="S65" r:id="rId64" display="https://github.com/sanjaymorankar-debug/ATIP-DEV/blob/master/docs/ATIP_MASTER_TRACKER.csv"/>
    <hyperlink ref="S66" r:id="rId65" display="https://github.com/sanjaymorankar-debug/ATIP-DEV/blob/master/docs/ATIP_MASTER_TRACKER.csv"/>
    <hyperlink ref="S67" r:id="rId66" display="https://github.com/sanjaymorankar-debug/ATIP-DEV/blob/master/docs/ATIP_MASTER_TRACKER.csv"/>
    <hyperlink ref="S68" r:id="rId67" display="https://github.com/sanjaymorankar-debug/ATIP-DEV/blob/master/docs/ATIP_MASTER_TRACKER.csv"/>
    <hyperlink ref="S69" r:id="rId68" display="https://github.com/sanjaymorankar-debug/ATIP-DEV/blob/master/docs/ATIP_MASTER_TRACKER.csv"/>
    <hyperlink ref="S70" r:id="rId69" display="https://github.com/sanjaymorankar-debug/ATIP-DEV/blob/master/docs/ATIP_MASTER_TRACKER.csv"/>
    <hyperlink ref="S71" r:id="rId70" display="https://github.com/sanjaymorankar-debug/ATIP-DEV/blob/master/docs/ATIP_MASTER_TRACKER.csv"/>
    <hyperlink ref="S72" r:id="rId71" display="https://github.com/sanjaymorankar-debug/ATIP-DEV/blob/master/docs/ATIP_MASTER_TRACKER.csv"/>
    <hyperlink ref="S73" r:id="rId72" display="https://github.com/sanjaymorankar-debug/ATIP-DEV/blob/master/docs/ATIP_MASTER_TRACKER.csv"/>
    <hyperlink ref="S74" r:id="rId73" display="https://github.com/sanjaymorankar-debug/ATIP-DEV/blob/master/docs/ATIP_MASTER_TRACKER.csv"/>
    <hyperlink ref="S75" r:id="rId74" display="https://github.com/sanjaymorankar-debug/ATIP-DEV/blob/master/docs/ATIP_MASTER_TRACKER.csv"/>
    <hyperlink ref="S76" r:id="rId75" display="https://github.com/sanjaymorankar-debug/ATIP-DEV/blob/master/docs/ATIP_MASTER_TRACKER.csv"/>
    <hyperlink ref="S77" r:id="rId76" display="https://github.com/sanjaymorankar-debug/ATIP-DEV/blob/master/docs/ATIP_MASTER_TRACKER.csv"/>
    <hyperlink ref="S78" r:id="rId77" display="https://github.com/sanjaymorankar-debug/ATIP-DEV/blob/master/docs/ATIP_MASTER_TRACKER.csv"/>
    <hyperlink ref="S79" r:id="rId78" display="https://github.com/sanjaymorankar-debug/ATIP-DEV/blob/master/docs/ATIP_MASTER_TRACKER.csv"/>
    <hyperlink ref="S80" r:id="rId79" display="https://github.com/sanjaymorankar-debug/ATIP-DEV/blob/master/docs/ATIP_MASTER_TRACKER.csv"/>
    <hyperlink ref="S81" r:id="rId80" display="https://github.com/sanjaymorankar-debug/ATIP-DEV/blob/master/docs/ATIP_MASTER_TRACKER.csv"/>
    <hyperlink ref="S82" r:id="rId81" display="https://github.com/sanjaymorankar-debug/ATIP-DEV/blob/master/docs/ATIP_MASTER_TRACKER.csv"/>
    <hyperlink ref="S83" r:id="rId82" display="https://github.com/sanjaymorankar-debug/ATIP-DEV/blob/master/docs/ATIP_MASTER_TRACKER.csv"/>
    <hyperlink ref="S84" r:id="rId83" display="https://github.com/sanjaymorankar-debug/ATIP-DEV/blob/master/docs/ATIP_MASTER_TRACKER.csv"/>
    <hyperlink ref="S85" r:id="rId84" display="https://github.com/sanjaymorankar-debug/ATIP-DEV/blob/master/docs/ATIP_MASTER_TRACKER.csv"/>
    <hyperlink ref="S86" r:id="rId85" display="https://github.com/sanjaymorankar-debug/ATIP-DEV/blob/master/docs/ATIP_MASTER_TRACKER.csv"/>
    <hyperlink ref="S87" r:id="rId86" display="https://github.com/sanjaymorankar-debug/ATIP-DEV/blob/master/docs/ATIP_MASTER_TRACKER.csv"/>
    <hyperlink ref="S88" r:id="rId87" display="https://github.com/sanjaymorankar-debug/ATIP-DEV/blob/master/docs/ATIP_MASTER_TRACKER.csv"/>
    <hyperlink ref="S89" r:id="rId88" display="https://github.com/sanjaymorankar-debug/ATIP-DEV/blob/master/docs/ATIP_MASTER_TRACKER.csv"/>
    <hyperlink ref="S90" r:id="rId89" display="https://github.com/sanjaymorankar-debug/ATIP-DEV/blob/master/docs/ATIP_MASTER_TRACKER.csv"/>
    <hyperlink ref="S91" r:id="rId90" display="https://github.com/sanjaymorankar-debug/ATIP-DEV/blob/master/docs/ATIP_MASTER_TRACKER.csv"/>
    <hyperlink ref="S92" r:id="rId91" display="https://github.com/sanjaymorankar-debug/ATIP-DEV/blob/master/docs/ATIP_MASTER_TRACKER.csv"/>
    <hyperlink ref="S93" r:id="rId92" display="https://github.com/sanjaymorankar-debug/ATIP-DEV/blob/master/docs/ATIP_MASTER_TRACKER.csv"/>
    <hyperlink ref="S94" r:id="rId93" display="https://github.com/sanjaymorankar-debug/ATIP-DEV/blob/master/docs/ATIP_MASTER_TRACKER.csv"/>
    <hyperlink ref="S95" r:id="rId94" display="https://github.com/sanjaymorankar-debug/ATIP-DEV/blob/master/docs/ATIP_MASTER_TRACKER.csv"/>
    <hyperlink ref="S96" r:id="rId95" display="https://github.com/sanjaymorankar-debug/ATIP-DEV/blob/master/docs/ATIP_MASTER_TRACKER.csv"/>
    <hyperlink ref="S97" r:id="rId96" display="https://github.com/sanjaymorankar-debug/ATIP-DEV/blob/master/docs/ATIP_MASTER_TRACKER.csv"/>
    <hyperlink ref="S98" r:id="rId97" display="https://github.com/sanjaymorankar-debug/ATIP-DEV/blob/master/docs/ATIP_MASTER_TRACKER.csv"/>
    <hyperlink ref="S99" r:id="rId98" display="https://github.com/sanjaymorankar-debug/ATIP-DEV/blob/master/docs/ATIP_MASTER_TRACKER.csv"/>
    <hyperlink ref="S100" r:id="rId99" display="https://github.com/sanjaymorankar-debug/ATIP-DEV/blob/master/docs/ATIP_MASTER_TRACKER.csv"/>
    <hyperlink ref="S101" r:id="rId100" display="https://github.com/sanjaymorankar-debug/ATIP-DEV/blob/master/docs/ATIP_MASTER_TRACKER.csv"/>
    <hyperlink ref="S102" r:id="rId101" display="https://github.com/sanjaymorankar-debug/ATIP-DEV/blob/master/docs/ATIP_MASTER_TRACKER.csv"/>
    <hyperlink ref="S103" r:id="rId102" display="https://github.com/sanjaymorankar-debug/ATIP-DEV/blob/master/docs/ATIP_MASTER_TRACKER.csv"/>
    <hyperlink ref="S104" r:id="rId103" display="https://github.com/sanjaymorankar-debug/ATIP-DEV/blob/master/docs/ATIP_MASTER_TRACKER.csv"/>
    <hyperlink ref="S105" r:id="rId104" display="https://github.com/sanjaymorankar-debug/ATIP-DEV/blob/master/docs/ATIP_MASTER_TRACKER.csv"/>
    <hyperlink ref="S106" r:id="rId105" display="https://github.com/sanjaymorankar-debug/ATIP-DEV/blob/master/docs/ATIP_MASTER_TRACKER.csv"/>
    <hyperlink ref="S107" r:id="rId106" display="https://github.com/sanjaymorankar-debug/ATIP-DEV/blob/master/docs/ATIP_MASTER_TRACKER.csv"/>
    <hyperlink ref="S108" r:id="rId107" display="https://github.com/sanjaymorankar-debug/ATIP-DEV/blob/master/docs/ATIP_MASTER_TRACKER.csv"/>
    <hyperlink ref="S109" r:id="rId108" display="https://github.com/sanjaymorankar-debug/ATIP-DEV/blob/master/docs/ATIP_MASTER_TRACKER.csv"/>
    <hyperlink ref="S110" r:id="rId109" display="https://github.com/sanjaymorankar-debug/ATIP-DEV/blob/master/docs/ATIP_MASTER_TRACKER.csv"/>
    <hyperlink ref="S111" r:id="rId110" display="https://github.com/sanjaymorankar-debug/ATIP-DEV/blob/master/docs/ATIP_MASTER_TRACKER.csv"/>
    <hyperlink ref="S112" r:id="rId111" display="https://github.com/sanjaymorankar-debug/ATIP-DEV/blob/master/docs/ATIP_MASTER_TRACKER.csv"/>
    <hyperlink ref="S113" r:id="rId112" display="https://github.com/sanjaymorankar-debug/ATIP-DEV/blob/master/docs/ATIP_MASTER_TRACKER.csv"/>
    <hyperlink ref="S114" r:id="rId113" display="https://github.com/sanjaymorankar-debug/ATIP-DEV/blob/master/docs/ATIP_MASTER_TRACKER.csv"/>
    <hyperlink ref="S115" r:id="rId114" display="https://github.com/sanjaymorankar-debug/ATIP-DEV/blob/master/docs/ATIP_MASTER_TRACKER.csv"/>
    <hyperlink ref="S116" r:id="rId115" display="https://github.com/sanjaymorankar-debug/ATIP-DEV/blob/master/docs/ATIP_MASTER_TRACKER.csv"/>
    <hyperlink ref="S117" r:id="rId116" display="https://github.com/sanjaymorankar-debug/ATIP-DEV/blob/master/docs/ATIP_MASTER_TRACKER.csv"/>
    <hyperlink ref="S118" r:id="rId117" display="https://github.com/sanjaymorankar-debug/ATIP-DEV/blob/master/docs/ATIP_MASTER_TRACKER.csv"/>
    <hyperlink ref="S119" r:id="rId118" display="https://github.com/sanjaymorankar-debug/ATIP-DEV/blob/master/docs/ATIP_MASTER_TRACKER.csv"/>
    <hyperlink ref="S120" r:id="rId119" display="https://github.com/sanjaymorankar-debug/ATIP-DEV/blob/master/docs/ATIP_MASTER_TRACKER.csv"/>
    <hyperlink ref="S121" r:id="rId120" display="https://github.com/sanjaymorankar-debug/ATIP-DEV/blob/master/docs/ATIP_MASTER_TRACKER.csv"/>
    <hyperlink ref="S122" r:id="rId121" display="https://github.com/sanjaymorankar-debug/ATIP-DEV/blob/master/docs/ATIP_MASTER_TRACKER.csv"/>
    <hyperlink ref="S123" r:id="rId122" display="https://github.com/sanjaymorankar-debug/ATIP-DEV/blob/master/docs/ATIP_MASTER_TRACKER.csv"/>
    <hyperlink ref="S124" r:id="rId123" display="https://github.com/sanjaymorankar-debug/ATIP-DEV/blob/master/docs/ATIP_MASTER_TRACKER.csv"/>
    <hyperlink ref="S125" r:id="rId124" display="https://github.com/sanjaymorankar-debug/ATIP-DEV/blob/master/docs/ATIP_MASTER_TRACKER.csv"/>
    <hyperlink ref="S126" r:id="rId125" display="https://github.com/sanjaymorankar-debug/ATIP-DEV/blob/master/docs/ATIP_MASTER_TRACKER.csv"/>
    <hyperlink ref="S127" r:id="rId126" display="https://github.com/sanjaymorankar-debug/ATIP-DEV/blob/master/docs/ATIP_MASTER_TRACKER.csv"/>
    <hyperlink ref="S128" r:id="rId127" display="https://github.com/sanjaymorankar-debug/ATIP-DEV/blob/master/docs/ATIP_MASTER_TRACKER.csv"/>
    <hyperlink ref="S129" r:id="rId128" display="https://github.com/sanjaymorankar-debug/ATIP-DEV/blob/master/docs/ATIP_MASTER_TRACKER.csv"/>
    <hyperlink ref="S130" r:id="rId129" display="https://github.com/sanjaymorankar-debug/ATIP-DEV/blob/master/docs/ATIP_MASTER_TRACKER.csv"/>
    <hyperlink ref="S131" r:id="rId130" display="https://github.com/sanjaymorankar-debug/ATIP-DEV/blob/master/docs/ATIP_MASTER_TRACKER.csv"/>
    <hyperlink ref="S132" r:id="rId131" display="https://github.com/sanjaymorankar-debug/ATIP-DEV/blob/master/docs/ATIP_MASTER_TRACKER.csv"/>
    <hyperlink ref="S133" r:id="rId132" display="https://github.com/sanjaymorankar-debug/ATIP-DEV/blob/master/docs/ATIP_MASTER_TRACKER.csv"/>
    <hyperlink ref="S134" r:id="rId133" display="https://github.com/sanjaymorankar-debug/ATIP-DEV/blob/master/docs/ATIP_MASTER_TRACKER.csv"/>
    <hyperlink ref="S135" r:id="rId134" display="https://github.com/sanjaymorankar-debug/ATIP-DEV/blob/master/docs/ATIP_MASTER_TRACKER.csv"/>
    <hyperlink ref="S136" r:id="rId135" display="https://github.com/sanjaymorankar-debug/ATIP-DEV/blob/master/docs/ATIP_MASTER_TRACKER.csv"/>
    <hyperlink ref="S137" r:id="rId136" display="https://github.com/sanjaymorankar-debug/ATIP-DEV/blob/master/docs/ATIP_MASTER_TRACKER.csv"/>
    <hyperlink ref="S138" r:id="rId137" display="https://github.com/sanjaymorankar-debug/ATIP-DEV/blob/master/docs/ATIP_MASTER_TRACKER.csv"/>
    <hyperlink ref="S139" r:id="rId138" display="https://github.com/sanjaymorankar-debug/ATIP-DEV/blob/master/docs/ATIP_MASTER_TRACKER.csv"/>
    <hyperlink ref="S140" r:id="rId139" display="https://github.com/sanjaymorankar-debug/ATIP-DEV/blob/master/docs/ATIP_MASTER_TRACKER.csv"/>
    <hyperlink ref="S141" r:id="rId140" display="https://github.com/sanjaymorankar-debug/ATIP-DEV/blob/master/docs/ATIP_MASTER_TRACKER.csv"/>
    <hyperlink ref="S142" r:id="rId141" display="https://github.com/sanjaymorankar-debug/ATIP-DEV/blob/master/docs/ATIP_MASTER_TRACKER.csv"/>
    <hyperlink ref="S143" r:id="rId142" display="https://github.com/sanjaymorankar-debug/ATIP-DEV/blob/master/docs/ATIP_MASTER_TRACKER.csv"/>
    <hyperlink ref="S144" r:id="rId143" display="https://github.com/sanjaymorankar-debug/ATIP-DEV/blob/master/docs/ATIP_MASTER_TRACKER.csv"/>
    <hyperlink ref="S145" r:id="rId144" display="https://github.com/sanjaymorankar-debug/ATIP-DEV/blob/master/docs/ATIP_MASTER_TRACKER.csv"/>
    <hyperlink ref="S146" r:id="rId145" display="https://github.com/sanjaymorankar-debug/ATIP-DEV/blob/master/docs/ATIP_MASTER_TRACKER.csv"/>
    <hyperlink ref="S147" r:id="rId146" display="https://github.com/sanjaymorankar-debug/ATIP-DEV/blob/master/docs/ATIP_MASTER_TRACKER.csv"/>
    <hyperlink ref="S148" r:id="rId147" display="https://github.com/sanjaymorankar-debug/ATIP-DEV/blob/master/docs/ATIP_MASTER_TRACKER.csv"/>
    <hyperlink ref="S149" r:id="rId148" display="https://github.com/sanjaymorankar-debug/ATIP-DEV/blob/master/docs/ATIP_MASTER_TRACKER.csv"/>
    <hyperlink ref="S150" r:id="rId149" display="https://github.com/sanjaymorankar-debug/ATIP-DEV/blob/master/docs/ATIP_MASTER_TRACKER.csv"/>
    <hyperlink ref="S151" r:id="rId150" display="https://github.com/sanjaymorankar-debug/ATIP-DEV/blob/master/docs/ATIP_MASTER_TRACKER.csv"/>
    <hyperlink ref="S152" r:id="rId151" display="https://github.com/sanjaymorankar-debug/ATIP-DEV/blob/master/docs/ATIP_MASTER_TRACKER.csv"/>
    <hyperlink ref="S153" r:id="rId152" display="https://github.com/sanjaymorankar-debug/ATIP-DEV/blob/master/docs/ATIP_MASTER_TRACKER.csv"/>
    <hyperlink ref="S154" r:id="rId153" display="https://github.com/sanjaymorankar-debug/ATIP-DEV/blob/master/docs/ATIP_MASTER_TRACKER.csv"/>
    <hyperlink ref="S155" r:id="rId154" display="https://github.com/sanjaymorankar-debug/ATIP-DEV/blob/master/docs/ATIP_MASTER_TRACKER.csv"/>
    <hyperlink ref="S156" r:id="rId155" display="https://github.com/sanjaymorankar-debug/ATIP-DEV/blob/master/docs/ATIP_MASTER_TRACKER.csv"/>
    <hyperlink ref="S157" r:id="rId156" display="https://github.com/sanjaymorankar-debug/ATIP-DEV/blob/master/docs/ATIP_MASTER_TRACKER.csv"/>
    <hyperlink ref="S158" r:id="rId157" display="https://github.com/sanjaymorankar-debug/ATIP-DEV/blob/master/docs/ATIP_MASTER_TRACKER.csv"/>
    <hyperlink ref="S159" r:id="rId158" display="https://github.com/sanjaymorankar-debug/ATIP-DEV/blob/master/docs/ATIP_MASTER_TRACKER.csv"/>
    <hyperlink ref="S160" r:id="rId159" display="https://github.com/sanjaymorankar-debug/ATIP-DEV/blob/master/docs/ATIP_MASTER_TRACKER.csv"/>
    <hyperlink ref="S161" r:id="rId160" display="https://github.com/sanjaymorankar-debug/ATIP-DEV/blob/master/docs/ATIP_MASTER_TRACKER.csv"/>
    <hyperlink ref="S162" r:id="rId161" display="https://github.com/sanjaymorankar-debug/ATIP-DEV/blob/master/docs/ATIP_MASTER_TRACKER.csv"/>
    <hyperlink ref="S163" r:id="rId162" display="https://github.com/sanjaymorankar-debug/ATIP-DEV/blob/master/docs/ATIP_MASTER_TRACKER.csv"/>
    <hyperlink ref="S164" r:id="rId163" display="https://github.com/sanjaymorankar-debug/ATIP-DEV/blob/master/docs/ATIP_MASTER_TRACKER.csv"/>
    <hyperlink ref="S165" r:id="rId164" display="https://github.com/sanjaymorankar-debug/ATIP-DEV/blob/master/docs/ATIP_MASTER_TRACKER.csv"/>
    <hyperlink ref="S166" r:id="rId165" display="https://github.com/sanjaymorankar-debug/ATIP-DEV/blob/master/docs/ATIP_MASTER_TRACKER.csv"/>
    <hyperlink ref="S167" r:id="rId166" display="https://github.com/sanjaymorankar-debug/ATIP-DEV/blob/master/docs/ATIP_MASTER_TRACKER.csv"/>
    <hyperlink ref="S168" r:id="rId167" display="https://github.com/sanjaymorankar-debug/ATIP-DEV/blob/master/docs/ATIP_MASTER_TRACKER.csv"/>
    <hyperlink ref="S169" r:id="rId168" display="https://github.com/sanjaymorankar-debug/ATIP-DEV/blob/master/docs/ATIP_MASTER_TRACKER.csv"/>
    <hyperlink ref="S170" r:id="rId169" display="https://github.com/sanjaymorankar-debug/ATIP-DEV/blob/master/docs/ATIP_MASTER_TRACKER.csv"/>
    <hyperlink ref="S171" r:id="rId170" display="https://github.com/sanjaymorankar-debug/ATIP-DEV/blob/master/docs/ATIP_MASTER_TRACKER.csv"/>
    <hyperlink ref="S172" r:id="rId171" display="https://github.com/sanjaymorankar-debug/ATIP-DEV/blob/master/docs/ATIP_MASTER_TRACKER.csv"/>
    <hyperlink ref="S173" r:id="rId172" display="https://github.com/sanjaymorankar-debug/ATIP-DEV/blob/master/docs/ATIP_MASTER_TRACKER.csv"/>
    <hyperlink ref="S174" r:id="rId173" display="https://github.com/sanjaymorankar-debug/ATIP-DEV/blob/master/docs/ATIP_MASTER_TRACKER.csv"/>
    <hyperlink ref="S175" r:id="rId174" display="https://github.com/sanjaymorankar-debug/ATIP-DEV/blob/master/docs/ATIP_MASTER_TRACKER.csv"/>
    <hyperlink ref="S176" r:id="rId175" display="https://github.com/sanjaymorankar-debug/ATIP-DEV/blob/master/docs/ATIP_MASTER_TRACKER.csv"/>
    <hyperlink ref="S177" r:id="rId176" display="https://github.com/sanjaymorankar-debug/ATIP-DEV/blob/master/docs/ATIP_MASTER_TRACKER.csv"/>
    <hyperlink ref="S178" r:id="rId177" display="https://github.com/sanjaymorankar-debug/ATIP-DEV/blob/master/docs/ATIP_MASTER_TRACKER.csv"/>
    <hyperlink ref="S179" r:id="rId178" display="https://github.com/sanjaymorankar-debug/ATIP-DEV/blob/master/docs/ATIP_MASTER_TRACKER.csv"/>
    <hyperlink ref="S180" r:id="rId179" display="https://github.com/sanjaymorankar-debug/ATIP-DEV/blob/master/docs/ATIP_MASTER_TRACKER.csv"/>
    <hyperlink ref="S181" r:id="rId180" display="https://github.com/sanjaymorankar-debug/ATIP-DEV/blob/master/docs/ATIP_MASTER_TRACKER.csv"/>
    <hyperlink ref="S182" r:id="rId181" display="https://github.com/sanjaymorankar-debug/ATIP-DEV/blob/master/docs/ATIP_MASTER_TRACKER.csv"/>
    <hyperlink ref="S183" r:id="rId182" display="https://github.com/sanjaymorankar-debug/ATIP-DEV/blob/master/docs/ATIP_MASTER_TRACKER.csv"/>
    <hyperlink ref="S184" r:id="rId183" display="https://github.com/sanjaymorankar-debug/ATIP-DEV/blob/master/docs/ATIP_MASTER_TRACKER.csv"/>
    <hyperlink ref="S185" r:id="rId184" display="https://github.com/sanjaymorankar-debug/ATIP-DEV/blob/master/docs/ATIP_MASTER_TRACKER.csv"/>
    <hyperlink ref="S186" r:id="rId185" display="https://github.com/sanjaymorankar-debug/ATIP-DEV/blob/master/docs/ATIP_MASTER_TRACKER.csv"/>
    <hyperlink ref="S187" r:id="rId186" display="https://github.com/sanjaymorankar-debug/ATIP-DEV/blob/master/docs/ATIP_MASTER_TRACKER.csv"/>
    <hyperlink ref="S188" r:id="rId187" display="https://github.com/sanjaymorankar-debug/ATIP-DEV/blob/master/docs/ATIP_MASTER_TRACKER.csv"/>
    <hyperlink ref="S189" r:id="rId188" display="https://github.com/sanjaymorankar-debug/ATIP-DEV/blob/master/docs/ATIP_MASTER_TRACKER.csv"/>
    <hyperlink ref="S190" r:id="rId189" display="https://github.com/sanjaymorankar-debug/ATIP-DEV/blob/master/docs/ATIP_MASTER_TRACKER.csv"/>
    <hyperlink ref="S191" r:id="rId190" display="https://github.com/sanjaymorankar-debug/ATIP-DEV/blob/master/docs/ATIP_MASTER_TRACKER.csv"/>
    <hyperlink ref="S192" r:id="rId191" display="https://github.com/sanjaymorankar-debug/ATIP-DEV/blob/master/docs/ATIP_MASTER_TRACKER.csv"/>
    <hyperlink ref="S193" r:id="rId192" display="https://github.com/sanjaymorankar-debug/ATIP-DEV/blob/master/docs/ATIP_MASTER_TRACKER.csv"/>
    <hyperlink ref="S194" r:id="rId193" display="https://github.com/sanjaymorankar-debug/ATIP-DEV/blob/master/docs/ATIP_MASTER_TRACKER.csv"/>
    <hyperlink ref="S195" r:id="rId194" display="https://github.com/sanjaymorankar-debug/ATIP-DEV/blob/master/docs/ATIP_MASTER_TRACKER.csv"/>
    <hyperlink ref="S196" r:id="rId195" display="https://github.com/sanjaymorankar-debug/ATIP-DEV/blob/master/docs/ATIP_MASTER_TRACKER.csv"/>
    <hyperlink ref="S197" r:id="rId196" display="https://github.com/sanjaymorankar-debug/ATIP-DEV/blob/master/docs/ATIP_MASTER_TRACKER.csv"/>
    <hyperlink ref="S198" r:id="rId197" display="https://github.com/sanjaymorankar-debug/ATIP-DEV/blob/master/docs/ATIP_MASTER_TRACKER.csv"/>
    <hyperlink ref="S199" r:id="rId198" display="https://github.com/sanjaymorankar-debug/ATIP-DEV/blob/master/docs/ATIP_MASTER_TRACKER.csv"/>
    <hyperlink ref="S200" r:id="rId199" display="https://github.com/sanjaymorankar-debug/ATIP-DEV/blob/master/docs/ATIP_MASTER_TRACKER.csv"/>
    <hyperlink ref="S201" r:id="rId200" display="https://github.com/sanjaymorankar-debug/ATIP-DEV/blob/master/docs/ATIP_MASTER_TRACKER.csv"/>
    <hyperlink ref="S202" r:id="rId201" display="https://github.com/sanjaymorankar-debug/ATIP-DEV/blob/master/docs/ATIP_MASTER_TRACKER.csv"/>
    <hyperlink ref="S203" r:id="rId202" display="https://github.com/sanjaymorankar-debug/ATIP-DEV/blob/master/docs/ATIP_MASTER_TRACKER.csv"/>
    <hyperlink ref="S204" r:id="rId203" display="https://github.com/sanjaymorankar-debug/ATIP-DEV/blob/master/docs/ATIP_MASTER_TRACKER.csv"/>
    <hyperlink ref="S205" r:id="rId204" display="https://github.com/sanjaymorankar-debug/ATIP-DEV/blob/master/docs/ATIP_MASTER_TRACKER.csv"/>
    <hyperlink ref="S206" r:id="rId205" display="https://github.com/sanjaymorankar-debug/ATIP-DEV/blob/master/docs/ATIP_MASTER_TRACKER.csv"/>
    <hyperlink ref="S207" r:id="rId206" display="https://github.com/sanjaymorankar-debug/ATIP-DEV/blob/master/docs/ATIP_MASTER_TRACKER.csv"/>
    <hyperlink ref="S208" r:id="rId207" display="https://github.com/sanjaymorankar-debug/ATIP-DEV/blob/master/docs/ATIP_MASTER_TRACKER.csv"/>
    <hyperlink ref="S209" r:id="rId208" display="https://github.com/sanjaymorankar-debug/ATIP-DEV/blob/master/docs/ATIP_MASTER_TRACKER.csv"/>
    <hyperlink ref="S210" r:id="rId209" display="https://github.com/sanjaymorankar-debug/ATIP-DEV/blob/master/docs/ATIP_MASTER_TRACKER.csv"/>
    <hyperlink ref="S211" r:id="rId210" display="https://github.com/sanjaymorankar-debug/ATIP-DEV/blob/master/docs/ATIP_MASTER_TRACKER.csv"/>
    <hyperlink ref="S212" r:id="rId211" display="https://github.com/sanjaymorankar-debug/ATIP-DEV/blob/master/docs/ATIP_MASTER_TRACKER.csv"/>
    <hyperlink ref="S213" r:id="rId212" display="https://github.com/sanjaymorankar-debug/ATIP-DEV/blob/master/docs/ATIP_MASTER_TRACKER.csv"/>
    <hyperlink ref="S214" r:id="rId213" display="https://github.com/sanjaymorankar-debug/ATIP-DEV/blob/master/docs/ATIP_MASTER_TRACKER.csv"/>
    <hyperlink ref="S215" r:id="rId214" display="https://github.com/sanjaymorankar-debug/ATIP-DEV/blob/master/docs/ATIP_MASTER_TRACKER.csv"/>
    <hyperlink ref="S216" r:id="rId215" display="https://github.com/sanjaymorankar-debug/ATIP-DEV/blob/master/docs/ATIP_MASTER_TRACKER.csv"/>
    <hyperlink ref="S217" r:id="rId216" display="https://github.com/sanjaymorankar-debug/ATIP-DEV/blob/master/docs/ATIP_MASTER_TRACKER.csv"/>
    <hyperlink ref="S218" r:id="rId217" display="https://github.com/sanjaymorankar-debug/ATIP-DEV/blob/master/docs/ATIP_MASTER_TRACKER.csv"/>
    <hyperlink ref="S219" r:id="rId218" display="https://github.com/sanjaymorankar-debug/ATIP-DEV/blob/master/docs/ATIP_MASTER_TRACKER.csv"/>
    <hyperlink ref="S220" r:id="rId219" display="https://github.com/sanjaymorankar-debug/ATIP-DEV/blob/master/docs/ATIP_MASTER_TRACKER.csv"/>
    <hyperlink ref="S221" r:id="rId220" display="https://github.com/sanjaymorankar-debug/ATIP-DEV/blob/master/docs/ATIP_MASTER_TRACKER.csv"/>
    <hyperlink ref="S222" r:id="rId221" display="https://github.com/sanjaymorankar-debug/ATIP-DEV/blob/master/docs/ATIP_MASTER_TRACKER.csv"/>
    <hyperlink ref="S223" r:id="rId222" display="https://github.com/sanjaymorankar-debug/ATIP-DEV/blob/master/docs/ATIP_MASTER_TRACKER.csv"/>
    <hyperlink ref="S224" r:id="rId223" display="https://github.com/sanjaymorankar-debug/ATIP-DEV/blob/master/docs/ATIP_MASTER_TRACKER.csv"/>
    <hyperlink ref="S225" r:id="rId224" display="https://github.com/sanjaymorankar-debug/ATIP-DEV/blob/master/docs/ATIP_MASTER_TRACKER.csv"/>
    <hyperlink ref="S226" r:id="rId225" display="https://github.com/sanjaymorankar-debug/ATIP-DEV/blob/master/docs/ATIP_MASTER_TRACKER.csv"/>
    <hyperlink ref="S227" r:id="rId226" display="https://github.com/sanjaymorankar-debug/ATIP-DEV/blob/master/docs/ATIP_MASTER_TRACKER.csv"/>
    <hyperlink ref="S228" r:id="rId227" display="https://github.com/sanjaymorankar-debug/ATIP-DEV/blob/master/docs/ATIP_MASTER_TRACKER.csv"/>
    <hyperlink ref="S229" r:id="rId228" display="https://github.com/sanjaymorankar-debug/ATIP-DEV/blob/master/docs/ATIP_MASTER_TRACKER.csv"/>
    <hyperlink ref="S230" r:id="rId229" display="https://github.com/sanjaymorankar-debug/ATIP-DEV/blob/master/docs/ATIP_MASTER_TRACKER.csv"/>
    <hyperlink ref="S231" r:id="rId230" display="https://github.com/sanjaymorankar-debug/ATIP-DEV/blob/master/docs/ATIP_MASTER_TRACKER.csv"/>
    <hyperlink ref="S232" r:id="rId231" display="https://github.com/sanjaymorankar-debug/ATIP-DEV/blob/master/docs/ATIP_MASTER_TRACKER.csv"/>
    <hyperlink ref="S233" r:id="rId232" display="https://github.com/sanjaymorankar-debug/ATIP-DEV/blob/master/docs/ATIP_MASTER_TRACKER.csv"/>
    <hyperlink ref="S234" r:id="rId233" display="https://github.com/sanjaymorankar-debug/ATIP-DEV/blob/master/docs/ATIP_MASTER_TRACKER.csv"/>
    <hyperlink ref="S235" r:id="rId234" display="https://github.com/sanjaymorankar-debug/ATIP-DEV/blob/master/docs/ATIP_MASTER_TRACKER.csv"/>
    <hyperlink ref="S236" r:id="rId235" display="https://github.com/sanjaymorankar-debug/ATIP-DEV/blob/master/docs/ATIP_MASTER_TRACKER.csv"/>
    <hyperlink ref="S237" r:id="rId236" display="https://github.com/sanjaymorankar-debug/ATIP-DEV/blob/master/docs/ATIP_MASTER_TRACKER.csv"/>
    <hyperlink ref="S238" r:id="rId237" display="https://github.com/sanjaymorankar-debug/ATIP-DEV/blob/master/docs/ATIP_MASTER_TRACKER.csv"/>
    <hyperlink ref="S239" r:id="rId238" display="https://github.com/sanjaymorankar-debug/ATIP-DEV/blob/master/docs/ATIP_MASTER_TRACKER.csv"/>
    <hyperlink ref="S240" r:id="rId239" display="https://github.com/sanjaymorankar-debug/ATIP-DEV/blob/master/docs/ATIP_MASTER_TRACKER.csv"/>
    <hyperlink ref="S241" r:id="rId240" display="https://github.com/sanjaymorankar-debug/ATIP-DEV/blob/master/docs/ATIP_MASTER_TRACKER.csv"/>
    <hyperlink ref="S242" r:id="rId241" display="https://github.com/sanjaymorankar-debug/ATIP-DEV/blob/master/docs/ATIP_MASTER_TRACKER.csv"/>
    <hyperlink ref="S243" r:id="rId242" display="https://github.com/sanjaymorankar-debug/ATIP-DEV/blob/master/docs/ATIP_MASTER_TRACKER.csv"/>
    <hyperlink ref="S244" r:id="rId243" display="https://github.com/sanjaymorankar-debug/ATIP-DEV/blob/master/docs/ATIP_MASTER_TRACKER.csv"/>
    <hyperlink ref="S245" r:id="rId244" display="https://github.com/sanjaymorankar-debug/ATIP-DEV/blob/master/docs/ATIP_MASTER_TRACKER.csv"/>
    <hyperlink ref="S246" r:id="rId245" display="https://github.com/sanjaymorankar-debug/ATIP-DEV/blob/master/docs/ATIP_MASTER_TRACKER.csv"/>
    <hyperlink ref="S247" r:id="rId246" display="https://github.com/sanjaymorankar-debug/ATIP-DEV/blob/master/docs/ATIP_MASTER_TRACKER.csv"/>
    <hyperlink ref="S248" r:id="rId247" display="https://github.com/sanjaymorankar-debug/ATIP-DEV/blob/master/docs/ATIP_MASTER_TRACKER.csv"/>
    <hyperlink ref="S249" r:id="rId248" display="https://github.com/sanjaymorankar-debug/ATIP-DEV/blob/master/docs/ATIP_MASTER_TRACKER.csv"/>
    <hyperlink ref="S250" r:id="rId249" display="https://github.com/sanjaymorankar-debug/ATIP-DEV/blob/master/docs/ATIP_MASTER_TRACKER.csv"/>
    <hyperlink ref="S251" r:id="rId250" display="https://github.com/sanjaymorankar-debug/ATIP-DEV/blob/master/docs/ATIP_MASTER_TRACKER.csv"/>
    <hyperlink ref="S252" r:id="rId251" display="https://github.com/sanjaymorankar-debug/ATIP-DEV/blob/master/docs/ATIP_MASTER_TRACKER.csv"/>
    <hyperlink ref="S253" r:id="rId252" display="https://github.com/sanjaymorankar-debug/ATIP-DEV/blob/master/docs/ATIP_MASTER_TRACKER.csv"/>
    <hyperlink ref="S254" r:id="rId253" display="https://github.com/sanjaymorankar-debug/ATIP-DEV/blob/master/docs/ATIP_MASTER_TRACKER.csv"/>
    <hyperlink ref="S255" r:id="rId254" display="https://github.com/sanjaymorankar-debug/ATIP-DEV/blob/master/docs/ATIP_MASTER_TRACKER.csv"/>
    <hyperlink ref="S256" r:id="rId255" display="https://github.com/sanjaymorankar-debug/ATIP-DEV/blob/master/docs/ATIP_MASTER_TRACKER.csv"/>
    <hyperlink ref="S257" r:id="rId256" display="https://github.com/sanjaymorankar-debug/ATIP-DEV/blob/master/docs/ATIP_MASTER_TRACKER.csv"/>
    <hyperlink ref="S258" r:id="rId257" display="https://github.com/sanjaymorankar-debug/ATIP-DEV/blob/master/docs/ATIP_MASTER_TRACKER.csv"/>
    <hyperlink ref="S259" r:id="rId258" display="https://github.com/sanjaymorankar-debug/ATIP-DEV/blob/master/docs/ATIP_MASTER_TRACKER.csv"/>
    <hyperlink ref="S260" r:id="rId259" display="https://github.com/sanjaymorankar-debug/ATIP-DEV/blob/master/docs/ATIP_MASTER_TRACKER.csv"/>
    <hyperlink ref="S261" r:id="rId260" display="https://github.com/sanjaymorankar-debug/ATIP-DEV/blob/master/docs/ATIP_MASTER_TRACKER.csv"/>
    <hyperlink ref="S262" r:id="rId261" display="https://github.com/sanjaymorankar-debug/ATIP-DEV/blob/master/docs/ATIP_MASTER_TRACKER.csv"/>
    <hyperlink ref="S263" r:id="rId262" display="https://github.com/sanjaymorankar-debug/ATIP-DEV/blob/master/docs/ATIP_MASTER_TRACKER.csv"/>
    <hyperlink ref="S264" r:id="rId263" display="https://github.com/sanjaymorankar-debug/ATIP-DEV/blob/master/docs/ATIP_MASTER_TRACKER.csv"/>
    <hyperlink ref="S265" r:id="rId264" display="https://github.com/sanjaymorankar-debug/ATIP-DEV/blob/master/docs/ATIP_MASTER_TRACKER.csv"/>
    <hyperlink ref="S266" r:id="rId265" display="https://github.com/sanjaymorankar-debug/ATIP-DEV/blob/master/docs/ATIP_MASTER_TRACKER.csv"/>
    <hyperlink ref="S267" r:id="rId266" display="https://github.com/sanjaymorankar-debug/ATIP-DEV/blob/master/docs/ATIP_MASTER_TRACKER.csv"/>
    <hyperlink ref="S268" r:id="rId267" display="https://github.com/sanjaymorankar-debug/ATIP-DEV/blob/master/docs/ATIP_MASTER_TRACKER.csv"/>
    <hyperlink ref="S269" r:id="rId268" display="https://github.com/sanjaymorankar-debug/ATIP-DEV/blob/master/docs/ATIP_MASTER_TRACKER.csv"/>
    <hyperlink ref="S270" r:id="rId269" display="https://github.com/sanjaymorankar-debug/ATIP-DEV/blob/master/docs/ATIP_MASTER_TRACKER.csv"/>
    <hyperlink ref="S271" r:id="rId270" display="https://github.com/sanjaymorankar-debug/ATIP-DEV/blob/master/docs/ATIP_MASTER_TRACKER.csv"/>
    <hyperlink ref="S272" r:id="rId271" display="https://github.com/sanjaymorankar-debug/ATIP-DEV/blob/master/docs/ATIP_MASTER_TRACKER.csv"/>
    <hyperlink ref="S273" r:id="rId272" display="https://github.com/sanjaymorankar-debug/ATIP-DEV/blob/master/docs/ATIP_MASTER_TRACKER.csv"/>
    <hyperlink ref="S274" r:id="rId273" display="https://github.com/sanjaymorankar-debug/ATIP-DEV/blob/master/docs/ATIP_MASTER_TRACKER.csv"/>
    <hyperlink ref="S275" r:id="rId274" display="https://github.com/sanjaymorankar-debug/ATIP-DEV/blob/master/docs/ATIP_MASTER_TRACKER.csv"/>
    <hyperlink ref="S276" r:id="rId275" display="https://github.com/sanjaymorankar-debug/ATIP-DEV/blob/master/docs/ATIP_MASTER_TRACKER.csv"/>
    <hyperlink ref="S277" r:id="rId276" display="https://github.com/sanjaymorankar-debug/ATIP-DEV/blob/master/docs/ATIP_MASTER_TRACKER.csv"/>
    <hyperlink ref="S278" r:id="rId277" display="https://github.com/sanjaymorankar-debug/ATIP-DEV/blob/master/docs/ATIP_MASTER_TRACKER.csv"/>
    <hyperlink ref="S279" r:id="rId278" display="https://github.com/sanjaymorankar-debug/ATIP-DEV/blob/master/docs/ATIP_MASTER_TRACKER.csv"/>
    <hyperlink ref="S280" r:id="rId279" display="https://github.com/sanjaymorankar-debug/ATIP-DEV/blob/master/docs/ATIP_MASTER_TRACKER.csv"/>
    <hyperlink ref="S281" r:id="rId280" display="https://github.com/sanjaymorankar-debug/ATIP-DEV/blob/master/docs/ATIP_MASTER_TRACKER.csv"/>
    <hyperlink ref="S282" r:id="rId281" display="https://github.com/sanjaymorankar-debug/ATIP-DEV/blob/master/docs/ATIP_MASTER_TRACKER.csv"/>
    <hyperlink ref="S283" r:id="rId282" display="https://github.com/sanjaymorankar-debug/ATIP-DEV/blob/master/docs/ATIP_MASTER_TRACKER.csv"/>
    <hyperlink ref="S284" r:id="rId283" display="https://github.com/sanjaymorankar-debug/ATIP-DEV/blob/master/docs/ATIP_MASTER_TRACKER.csv"/>
    <hyperlink ref="S285" r:id="rId284" display="https://github.com/sanjaymorankar-debug/ATIP-DEV/blob/master/docs/ATIP_MASTER_TRACKER.csv"/>
    <hyperlink ref="S286" r:id="rId285" display="https://github.com/sanjaymorankar-debug/ATIP-DEV/blob/master/docs/ATIP_MASTER_TRACKER.csv"/>
    <hyperlink ref="S287" r:id="rId286" display="https://github.com/sanjaymorankar-debug/ATIP-DEV/blob/master/docs/ATIP_MASTER_TRACKER.csv"/>
    <hyperlink ref="S288" r:id="rId287" display="https://github.com/sanjaymorankar-debug/ATIP-DEV/blob/master/docs/ATIP_MASTER_TRACKER.csv"/>
    <hyperlink ref="S289" r:id="rId288" display="https://github.com/sanjaymorankar-debug/ATIP-DEV/blob/master/docs/ATIP_MASTER_TRACKER.csv"/>
    <hyperlink ref="S290" r:id="rId289" display="https://github.com/sanjaymorankar-debug/ATIP-DEV/blob/master/docs/ATIP_MASTER_TRACKER.csv"/>
    <hyperlink ref="S291" r:id="rId290" display="https://github.com/sanjaymorankar-debug/ATIP-DEV/blob/master/docs/ATIP_MASTER_TRACKER.csv"/>
    <hyperlink ref="S292" r:id="rId291" display="https://github.com/sanjaymorankar-debug/ATIP-DEV/blob/master/docs/ATIP_MASTER_TRACKER.csv"/>
    <hyperlink ref="S293" r:id="rId292" display="https://github.com/sanjaymorankar-debug/ATIP-DEV/blob/master/docs/ATIP_MASTER_TRACKER.csv"/>
    <hyperlink ref="S294" r:id="rId293" display="https://github.com/sanjaymorankar-debug/ATIP-DEV/blob/master/docs/ATIP_MASTER_TRACKER.csv"/>
    <hyperlink ref="S295" r:id="rId294" display="https://github.com/sanjaymorankar-debug/ATIP-DEV/blob/master/docs/ATIP_MASTER_TRACKER.csv"/>
    <hyperlink ref="S296" r:id="rId295" display="https://github.com/sanjaymorankar-debug/ATIP-DEV/blob/master/docs/ATIP_MASTER_TRACKER.csv"/>
    <hyperlink ref="S297" r:id="rId296" display="https://github.com/sanjaymorankar-debug/ATIP-DEV/blob/master/docs/ATIP_MASTER_TRACKER.csv"/>
    <hyperlink ref="S298" r:id="rId297" display="https://github.com/sanjaymorankar-debug/ATIP-DEV/blob/master/docs/ATIP_MASTER_TRACKER.csv"/>
    <hyperlink ref="S299" r:id="rId298" display="https://github.com/sanjaymorankar-debug/ATIP-DEV/blob/master/docs/ATIP_MASTER_TRACKER.csv"/>
    <hyperlink ref="S300" r:id="rId299" display="https://github.com/sanjaymorankar-debug/ATIP-DEV/blob/master/docs/ATIP_MASTER_TRACKER.csv"/>
    <hyperlink ref="S301" r:id="rId300" display="https://github.com/sanjaymorankar-debug/ATIP-DEV/blob/master/docs/ATIP_MASTER_TRACKER.csv"/>
    <hyperlink ref="S302" r:id="rId301" display="https://github.com/sanjaymorankar-debug/ATIP-DEV/blob/master/docs/ATIP_MASTER_TRACKER.csv"/>
    <hyperlink ref="S303" r:id="rId302" display="https://github.com/sanjaymorankar-debug/ATIP-DEV/blob/master/docs/ATIP_MASTER_TRACKER.csv"/>
    <hyperlink ref="S304" r:id="rId303" display="https://github.com/sanjaymorankar-debug/ATIP-DEV/blob/master/docs/ATIP_MASTER_TRACKER.csv"/>
    <hyperlink ref="S305" r:id="rId304" display="https://github.com/sanjaymorankar-debug/ATIP-DEV/blob/master/docs/ATIP_MASTER_TRACKER.csv"/>
    <hyperlink ref="S306" r:id="rId305" display="https://github.com/sanjaymorankar-debug/ATIP-DEV/blob/master/docs/ATIP_MASTER_TRACKER.csv"/>
    <hyperlink ref="S307" r:id="rId306" display="https://github.com/sanjaymorankar-debug/ATIP-DEV/blob/master/docs/ATIP_MASTER_TRACKER.csv"/>
    <hyperlink ref="S308" r:id="rId307" display="https://github.com/sanjaymorankar-debug/ATIP-DEV/blob/master/docs/ATIP_MASTER_TRACKER.csv"/>
    <hyperlink ref="S309" r:id="rId308" display="https://github.com/sanjaymorankar-debug/ATIP-DEV/blob/master/docs/ATIP_MASTER_TRACKER.csv"/>
    <hyperlink ref="S310" r:id="rId309" display="https://github.com/sanjaymorankar-debug/ATIP-DEV/blob/master/docs/ATIP_MASTER_TRACKER.csv"/>
    <hyperlink ref="S311" r:id="rId310" display="https://github.com/sanjaymorankar-debug/ATIP-DEV/blob/master/docs/ATIP_MASTER_TRACKER.csv"/>
    <hyperlink ref="S312" r:id="rId311" display="https://github.com/sanjaymorankar-debug/ATIP-DEV/blob/master/docs/ATIP_MASTER_TRACKER.csv"/>
    <hyperlink ref="S313" r:id="rId312" display="https://github.com/sanjaymorankar-debug/ATIP-DEV/blob/master/docs/ATIP_MASTER_TRACKER.csv"/>
    <hyperlink ref="S314" r:id="rId313" display="https://github.com/sanjaymorankar-debug/ATIP-DEV/blob/master/docs/ATIP_MASTER_TRACKER.csv"/>
    <hyperlink ref="S315" r:id="rId314" display="https://github.com/sanjaymorankar-debug/ATIP-DEV/blob/master/docs/ATIP_MASTER_TRACKER.csv"/>
    <hyperlink ref="S316" r:id="rId315" display="https://github.com/sanjaymorankar-debug/ATIP-DEV/blob/master/docs/ATIP_MASTER_TRACKER.csv"/>
    <hyperlink ref="S317" r:id="rId316" display="https://github.com/sanjaymorankar-debug/ATIP-DEV/blob/master/docs/ATIP_MASTER_TRACKER.csv"/>
    <hyperlink ref="S318" r:id="rId317" display="https://github.com/sanjaymorankar-debug/ATIP-DEV/blob/master/docs/ATIP_MASTER_TRACKER.csv"/>
    <hyperlink ref="S319" r:id="rId318" display="https://github.com/sanjaymorankar-debug/ATIP-DEV/blob/master/docs/ATIP_MASTER_TRACKER.csv"/>
    <hyperlink ref="S320" r:id="rId319" display="https://github.com/sanjaymorankar-debug/ATIP-DEV/blob/master/docs/ATIP_MASTER_TRACKER.csv"/>
    <hyperlink ref="S321" r:id="rId320" display="https://github.com/sanjaymorankar-debug/ATIP-DEV/blob/master/docs/ATIP_MASTER_TRACKER.csv"/>
    <hyperlink ref="S322" r:id="rId321" display="https://github.com/sanjaymorankar-debug/ATIP-DEV/blob/master/docs/ATIP_MASTER_TRACKER.csv"/>
    <hyperlink ref="S323" r:id="rId322" display="https://github.com/sanjaymorankar-debug/ATIP-DEV/blob/master/docs/ATIP_MASTER_TRACKER.csv"/>
    <hyperlink ref="S324" r:id="rId323" display="https://github.com/sanjaymorankar-debug/ATIP-DEV/blob/master/docs/ATIP_MASTER_TRACKER.csv"/>
    <hyperlink ref="S325" r:id="rId324" display="https://github.com/sanjaymorankar-debug/ATIP-DEV/blob/master/docs/ATIP_MASTER_TRACKER.csv"/>
    <hyperlink ref="S326" r:id="rId325" display="https://github.com/sanjaymorankar-debug/ATIP-DEV/blob/master/docs/ATIP_MASTER_TRACKER.csv"/>
    <hyperlink ref="S327" r:id="rId326" display="https://github.com/sanjaymorankar-debug/ATIP-DEV/blob/master/docs/ATIP_MASTER_TRACKER.csv"/>
    <hyperlink ref="S328" r:id="rId327" display="https://github.com/sanjaymorankar-debug/ATIP-DEV/blob/master/docs/ATIP_MASTER_TRACKER.csv"/>
    <hyperlink ref="S329" r:id="rId328" display="https://github.com/sanjaymorankar-debug/ATIP-DEV/blob/master/docs/ATIP_MASTER_TRACKER.csv"/>
    <hyperlink ref="S330" r:id="rId329" display="https://github.com/sanjaymorankar-debug/ATIP-DEV/blob/master/docs/ATIP_MASTER_TRACKER.csv"/>
    <hyperlink ref="S331" r:id="rId330" display="https://github.com/sanjaymorankar-debug/ATIP-DEV/blob/master/docs/ATIP_MASTER_TRACKER.csv"/>
    <hyperlink ref="S332" r:id="rId331" display="https://github.com/sanjaymorankar-debug/ATIP-DEV/blob/master/docs/ATIP_MASTER_TRACKER.csv"/>
    <hyperlink ref="S333" r:id="rId332" display="https://github.com/sanjaymorankar-debug/ATIP-DEV/pull/8"/>
    <hyperlink ref="S334" r:id="rId333" display="https://github.com/sanjaymorankar-debug/ATIP-DEV/pull/1"/>
    <hyperlink ref="S335" r:id="rId334" display="https://github.com/sanjaymorankar-debug/ATIP-DEV/pull/1"/>
    <hyperlink ref="S336" r:id="rId335" display="https://github.com/sanjaymorankar-debug/ATIP-DEV/pull/2"/>
    <hyperlink ref="S337" r:id="rId336" display="https://github.com/sanjaymorankar-debug/ATIP-DEV/pull/6"/>
    <hyperlink ref="S338" r:id="rId337" display="https://github.com/sanjaymorankar-debug/ATIP-DEV/pull/7"/>
    <hyperlink ref="S339" r:id="rId338" display="https://github.com/sanjaymorankar-debug/bkesari/pull/2"/>
    <hyperlink ref="S340" r:id="rId339" display="https://github.com/sanjaymorankar-debug/bkesari/pull/4"/>
    <hyperlink ref="S341" r:id="rId340" display="https://github.com/sanjaymorankar-debug/bkesari/pull/4"/>
    <hyperlink ref="S342" r:id="rId341" display="https://github.com/sanjaymorankar-debug/bkesari/pull/4"/>
    <hyperlink ref="S343" r:id="rId342" display="https://github.com/sanjaymorankar-debug/bkesari/pull/4"/>
    <hyperlink ref="S344" r:id="rId343" display="https://github.com/sanjaymorankar-debug/bkesari/pull/4"/>
    <hyperlink ref="S345" r:id="rId344" display="https://github.com/sanjaymorankar-debug/bkesari/pull/4"/>
    <hyperlink ref="S346" r:id="rId345" display="https://github.com/sanjaymorankar-debug/bkesari/pull/4"/>
    <hyperlink ref="S347" r:id="rId346" display="https://github.com/sanjaymorankar-debug/bkesari/pull/4"/>
    <hyperlink ref="S348" r:id="rId347" display="https://github.com/sanjaymorankar-debug/bkesari/pull/5"/>
    <hyperlink ref="S349" r:id="rId348" display="https://github.com/sanjaymorankar-debug/bkesari/pull/6"/>
    <hyperlink ref="S350" r:id="rId349" display="https://github.com/sanjaymorankar-debug/bkesari/pull/7"/>
    <hyperlink ref="S351" r:id="rId350" display="https://github.com/sanjaymorankar-debug/bkesari/commit/0f86b01"/>
    <hyperlink ref="S352" r:id="rId351" display="https://github.com/sanjaymorankar-debug/bkesari/commit/04f34f2"/>
    <hyperlink ref="S353" r:id="rId352" display="https://github.com/sanjaymorankar-debug/bkesari/commit/c3f106d"/>
    <hyperlink ref="S354" r:id="rId353" display="https://github.com/sanjaymorankar-debug/bkesari/commit/e6ee64d"/>
    <hyperlink ref="S355" r:id="rId354" display="https://github.com/sanjaymorankar-debug/bkesari/commit/89960a6"/>
    <hyperlink ref="S356" r:id="rId355" display="https://github.com/sanjaymorankar-debug/bkesari/commit/ef465f6"/>
    <hyperlink ref="S357" r:id="rId356" display="https://github.com/sanjaymorankar-debug/bkesari/commit/e40d6e4"/>
    <hyperlink ref="S358" r:id="rId357" display="https://github.com/sanjaymorankar-debug/bkesari/commit/8710759"/>
    <hyperlink ref="S359" r:id="rId358" display="https://github.com/sanjaymorankar-debug/bkesari/commit/59411c7"/>
    <hyperlink ref="S360" r:id="rId359" display="https://github.com/sanjaymorankar-debug/bkesari/commit/7d15d86"/>
    <hyperlink ref="S361" r:id="rId360" display="https://github.com/sanjaymorankar-debug/bkesari/commit/64ab175"/>
    <hyperlink ref="S362" r:id="rId361" display="https://github.com/sanjaymorankar-debug/bkesari/commit/9f7b290"/>
    <hyperlink ref="S363" r:id="rId362" display="https://github.com/sanjaymorankar-debug/bkesari/pull/8"/>
    <hyperlink ref="S364" r:id="rId363" display="https://github.com/sanjaymorankar-debug/bkesari/pull/11"/>
    <hyperlink ref="S365" r:id="rId364" display="https://github.com/sanjaymorankar-debug/bkesari/pull/9"/>
    <hyperlink ref="S366" r:id="rId365" display="https://github.com/sanjaymorankar-debug/bkesari/pull/9"/>
    <hyperlink ref="S367" r:id="rId366" display="https://github.com/sanjaymorankar-debug/bkesari/pull/9"/>
    <hyperlink ref="S368" r:id="rId367" display="https://github.com/sanjaymorankar-debug/bkesari/pull/10"/>
    <hyperlink ref="S369" r:id="rId368" display="https://github.com/sanjaymorankar-debug/bkesari/pull/13"/>
    <hyperlink ref="S370" r:id="rId369" display="https://github.com/sanjaymorankar-debug/bkesari/pull/12"/>
    <hyperlink ref="S371" r:id="rId370" display="https://github.com/sanjaymorankar-debug/bkesari/pull/14"/>
    <hyperlink ref="S372" r:id="rId371" display="https://github.com/sanjaymorankar-debug/bkesari-platform/commit/8f5356b"/>
    <hyperlink ref="S373" r:id="rId372" display="https://github.com/sanjaymorankar-debug/bkesari-platform/commit/8f5356b"/>
    <hyperlink ref="S374" r:id="rId373" display="https://github.com/sanjaymorankar-debug/bkesari-platform/commit/4e864ef"/>
    <hyperlink ref="S375" r:id="rId374" display="https://github.com/sanjaymorankar-debug/bkesari-platform/commit/8f5356b"/>
    <hyperlink ref="S376" r:id="rId375" display="https://github.com/sanjaymorankar-debug/bkesari-platform/commit/69c012b"/>
    <hyperlink ref="S377" r:id="rId376" display="https://github.com/sanjaymorankar-debug/bkesari-platform/commit/62b88a6"/>
    <hyperlink ref="S378" r:id="rId377" display="https://github.com/sanjaymorankar-debug/bkesari-platform/commit/aeb7336"/>
    <hyperlink ref="S379" r:id="rId378" display="https://github.com/sanjaymorankar-debug/bkesari-platform/commit/87fd505"/>
    <hyperlink ref="S380" r:id="rId379" display="https://github.com/sanjaymorankar-debug/bkesari-platform/commit/f37140e"/>
    <hyperlink ref="S381" r:id="rId380" display="https://github.com/sanjaymorankar-debug/bkesari-platform/pull/1"/>
    <hyperlink ref="S382" r:id="rId381" display="https://github.com/sanjaymorankar-debug/bkesari-platform/pull/1"/>
    <hyperlink ref="S383" r:id="rId382" display="https://github.com/sanjaymorankar-debug/bkesari-platform/pull/1"/>
    <hyperlink ref="S384" r:id="rId383" display="https://github.com/sanjaymorankar-debug/bkesari-platform/pull/1"/>
    <hyperlink ref="S385" r:id="rId384" display="https://github.com/sanjaymorankar-debug/bkesari-platform/pull/2"/>
    <hyperlink ref="S386" r:id="rId385" display="https://github.com/sanjaymorankar-debug/bkesari-platform/pull/2"/>
    <hyperlink ref="S387" r:id="rId386" display="https://github.com/sanjaymorankar-debug/bkesari-platform/pull/2"/>
    <hyperlink ref="S388" r:id="rId387" display="https://github.com/sanjaymorankar-debug/bkesari-platform/pull/2"/>
    <hyperlink ref="S389" r:id="rId388" display="https://github.com/sanjaymorankar-debug/bkesari-platform/pull/2"/>
    <hyperlink ref="S390" r:id="rId389" display="https://github.com/sanjaymorankar-debug/bkesari-platform/pull/5"/>
    <hyperlink ref="S391" r:id="rId390" display="https://github.com/sanjaymorankar-debug/bkesari-platform/pull/3"/>
    <hyperlink ref="S392" r:id="rId391" display="https://github.com/sanjaymorankar-debug/bkesari-platform/pull/4"/>
    <hyperlink ref="S393" r:id="rId392" display="https://github.com/sanjaymorankar-debug/bkesari-platform/commit/e33e4cc"/>
    <hyperlink ref="S394" r:id="rId393" display="https://github.com/sanjaymorankar-debug/bkesari-platform/commit/1606f39"/>
    <hyperlink ref="S395" r:id="rId394" display="https://github.com/sanjaymorankar-debug/bkesari-platform/commit/fe1a321"/>
    <hyperlink ref="S396" r:id="rId395" display="https://github.com/sanjaymorankar-debug/bkesari-platform/commit/5598b92"/>
    <hyperlink ref="S397" r:id="rId396" display="https://github.com/sanjaymorankar-debug/bkesari-platform/blob/main/edu/ROADMAP.md"/>
    <hyperlink ref="S398" r:id="rId397" display="https://github.com/sanjaymorankar-debug/bkesari-platform/commit/7e2c9da"/>
    <hyperlink ref="S399" r:id="rId398" display="https://github.com/sanjaymorankar-debug/bkesari-platform/blob/main/edu/ROADMAP.md"/>
    <hyperlink ref="S400" r:id="rId399" display="https://github.com/sanjaymorankar-debug/bkesari-platform/commit/37eb766"/>
    <hyperlink ref="S401" r:id="rId400" display="https://github.com/sanjaymorankar-debug/bkesari-platform/blob/main/edu/ROADMAP.md"/>
    <hyperlink ref="S402" r:id="rId401" display="https://github.com/sanjaymorankar-debug/bkesari-platform/blob/main/edu/ROADMAP.md"/>
    <hyperlink ref="S403" r:id="rId402" display="https://github.com/sanjaymorankar-debug/bkesari-platform/blob/main/edu/ROADMAP.md"/>
    <hyperlink ref="S404" r:id="rId403" display="https://github.com/sanjaymorankar-debug/bkesari-platform/blob/main/edu/ROADMAP.md"/>
    <hyperlink ref="S405" r:id="rId404" display="https://github.com/sanjaymorankar-debug/bkesari-platform/commit/54cc817"/>
    <hyperlink ref="S406" r:id="rId405" display="https://github.com/sanjaymorankar-debug/bkesari-platform/commit/50ee343"/>
    <hyperlink ref="S407" r:id="rId406" display="https://github.com/sanjaymorankar-debug/bkesari-platform/blob/main/edu/ROADMAP.md"/>
    <hyperlink ref="S408" r:id="rId407" display="https://github.com/sanjaymorankar-debug/bkesari-platform/commit/22c5f7c"/>
    <hyperlink ref="S409" r:id="rId408" display="https://github.com/sanjaymorankar-debug/bkesari-platform/commit/f0b8b28"/>
    <hyperlink ref="S410" r:id="rId409" display="https://github.com/sanjaymorankar-debug/bkesari-platform/commit/37f8d0f"/>
    <hyperlink ref="S411" r:id="rId410" display="https://github.com/sanjaymorankar-debug/bkesari-platform/commit/04195e0"/>
    <hyperlink ref="S412" r:id="rId411" display="https://github.com/sanjaymorankar-debug/bkesari-platform/blob/main/edu/ROADMAP.md"/>
    <hyperlink ref="S413" r:id="rId412" display="https://github.com/sanjaymorankar-debug/bkesari-platform/blob/main/edu/ROADMAP.md"/>
    <hyperlink ref="S414" r:id="rId413" display="https://github.com/sanjaymorankar-debug/bkesari-platform/commit/a1793dd"/>
    <hyperlink ref="S415" r:id="rId414" display="https://github.com/sanjaymorankar-debug/bkesari-platform/commit/79b24ff"/>
    <hyperlink ref="S416" r:id="rId415" display="https://github.com/sanjaymorankar-debug/bkesari-platform/blob/main/edu/ROADMAP.md"/>
    <hyperlink ref="S417" r:id="rId416" display="https://github.com/sanjaymorankar-debug/bkesari-platform/commit/7024cd6"/>
    <hyperlink ref="S418" r:id="rId417" display="https://github.com/sanjaymorankar-debug/bkesari-platform/blob/main/edu/ROADMAP.md"/>
    <hyperlink ref="S419" r:id="rId418" display="https://github.com/sanjaymorankar-debug/bkesari-platform/commit/41789d7"/>
    <hyperlink ref="S420" r:id="rId419" display="https://github.com/sanjaymorankar-debug/bkesari-platform/commit/084066e"/>
    <hyperlink ref="S421" r:id="rId420" display="https://github.com/sanjaymorankar-debug/bkesari-platform/commit/fe1cba1"/>
    <hyperlink ref="S422" r:id="rId421" display="https://github.com/sanjaymorankar-debug/bkesari-platform/commit/13cc956"/>
    <hyperlink ref="S423" r:id="rId422" display="https://github.com/sanjaymorankar-debug/bkesari-platform/blob/main/edu/ROADMAP.m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2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0"/>
    <col collapsed="false" customWidth="true" hidden="false" outlineLevel="0" max="3" min="3" style="0" width="32"/>
    <col collapsed="false" customWidth="true" hidden="false" outlineLevel="0" max="4" min="4" style="0" width="12"/>
    <col collapsed="false" customWidth="true" hidden="false" outlineLevel="0" max="5" min="5" style="0" width="13"/>
    <col collapsed="false" customWidth="true" hidden="false" outlineLevel="0" max="6" min="6" style="0" width="40"/>
    <col collapsed="false" customWidth="true" hidden="false" outlineLevel="0" max="7" min="7" style="0" width="52"/>
  </cols>
  <sheetData>
    <row r="1" customFormat="false" ht="30" hidden="false" customHeight="true" outlineLevel="0" collapsed="false">
      <c r="A1" s="4" t="s">
        <v>1845</v>
      </c>
      <c r="B1" s="4" t="s">
        <v>1846</v>
      </c>
      <c r="C1" s="4" t="s">
        <v>118</v>
      </c>
      <c r="D1" s="4" t="s">
        <v>1847</v>
      </c>
      <c r="E1" s="4" t="s">
        <v>1848</v>
      </c>
      <c r="F1" s="4" t="s">
        <v>1849</v>
      </c>
      <c r="G1" s="4" t="s">
        <v>1850</v>
      </c>
    </row>
    <row r="2" customFormat="false" ht="23.85" hidden="false" customHeight="false" outlineLevel="0" collapsed="false">
      <c r="A2" s="5" t="s">
        <v>1851</v>
      </c>
      <c r="B2" s="6" t="s">
        <v>1852</v>
      </c>
      <c r="C2" s="5" t="s">
        <v>1853</v>
      </c>
      <c r="D2" s="15" t="s">
        <v>132</v>
      </c>
      <c r="E2" s="5" t="s">
        <v>1854</v>
      </c>
      <c r="F2" s="6" t="s">
        <v>135</v>
      </c>
      <c r="G2" s="6" t="s">
        <v>1855</v>
      </c>
    </row>
    <row r="3" customFormat="false" ht="23.85" hidden="false" customHeight="false" outlineLevel="0" collapsed="false">
      <c r="A3" s="5" t="s">
        <v>1856</v>
      </c>
      <c r="B3" s="6" t="s">
        <v>1857</v>
      </c>
      <c r="C3" s="5" t="s">
        <v>1858</v>
      </c>
      <c r="D3" s="15" t="s">
        <v>132</v>
      </c>
      <c r="E3" s="5" t="s">
        <v>1854</v>
      </c>
      <c r="F3" s="6" t="s">
        <v>135</v>
      </c>
      <c r="G3" s="6" t="s">
        <v>1855</v>
      </c>
    </row>
    <row r="4" customFormat="false" ht="23.85" hidden="false" customHeight="false" outlineLevel="0" collapsed="false">
      <c r="A4" s="5" t="s">
        <v>1859</v>
      </c>
      <c r="B4" s="6" t="s">
        <v>1860</v>
      </c>
      <c r="C4" s="5" t="s">
        <v>1861</v>
      </c>
      <c r="D4" s="15" t="s">
        <v>132</v>
      </c>
      <c r="E4" s="5" t="s">
        <v>1862</v>
      </c>
      <c r="F4" s="6" t="s">
        <v>1863</v>
      </c>
      <c r="G4" s="6" t="s">
        <v>1855</v>
      </c>
    </row>
    <row r="5" customFormat="false" ht="23.85" hidden="false" customHeight="false" outlineLevel="0" collapsed="false">
      <c r="A5" s="5" t="s">
        <v>1864</v>
      </c>
      <c r="B5" s="6" t="s">
        <v>1865</v>
      </c>
      <c r="C5" s="5" t="s">
        <v>1866</v>
      </c>
      <c r="D5" s="15" t="s">
        <v>132</v>
      </c>
      <c r="E5" s="5" t="s">
        <v>1862</v>
      </c>
      <c r="F5" s="6" t="s">
        <v>1863</v>
      </c>
      <c r="G5" s="6" t="s">
        <v>1855</v>
      </c>
    </row>
    <row r="6" customFormat="false" ht="23.85" hidden="false" customHeight="false" outlineLevel="0" collapsed="false">
      <c r="A6" s="5" t="s">
        <v>1867</v>
      </c>
      <c r="B6" s="6" t="s">
        <v>1868</v>
      </c>
      <c r="C6" s="5" t="s">
        <v>1869</v>
      </c>
      <c r="D6" s="15" t="s">
        <v>132</v>
      </c>
      <c r="E6" s="5" t="s">
        <v>1862</v>
      </c>
      <c r="F6" s="6" t="s">
        <v>1863</v>
      </c>
      <c r="G6" s="6" t="s">
        <v>1855</v>
      </c>
    </row>
    <row r="7" customFormat="false" ht="23.85" hidden="false" customHeight="false" outlineLevel="0" collapsed="false">
      <c r="A7" s="5" t="s">
        <v>1870</v>
      </c>
      <c r="B7" s="6" t="s">
        <v>1871</v>
      </c>
      <c r="C7" s="5" t="s">
        <v>1872</v>
      </c>
      <c r="D7" s="15" t="s">
        <v>132</v>
      </c>
      <c r="E7" s="5" t="s">
        <v>1862</v>
      </c>
      <c r="F7" s="6" t="s">
        <v>1863</v>
      </c>
      <c r="G7" s="6" t="s">
        <v>1855</v>
      </c>
    </row>
    <row r="8" customFormat="false" ht="23.85" hidden="false" customHeight="false" outlineLevel="0" collapsed="false">
      <c r="A8" s="5" t="s">
        <v>1873</v>
      </c>
      <c r="B8" s="6" t="s">
        <v>1874</v>
      </c>
      <c r="C8" s="5" t="s">
        <v>1875</v>
      </c>
      <c r="D8" s="15" t="s">
        <v>132</v>
      </c>
      <c r="E8" s="5" t="s">
        <v>1862</v>
      </c>
      <c r="F8" s="6" t="s">
        <v>1876</v>
      </c>
      <c r="G8" s="6" t="s">
        <v>1855</v>
      </c>
    </row>
    <row r="9" customFormat="false" ht="23.85" hidden="false" customHeight="false" outlineLevel="0" collapsed="false">
      <c r="A9" s="5" t="s">
        <v>1877</v>
      </c>
      <c r="B9" s="6" t="s">
        <v>1878</v>
      </c>
      <c r="C9" s="5" t="s">
        <v>1879</v>
      </c>
      <c r="D9" s="15" t="s">
        <v>132</v>
      </c>
      <c r="E9" s="5" t="s">
        <v>1880</v>
      </c>
      <c r="F9" s="6" t="s">
        <v>1863</v>
      </c>
      <c r="G9" s="6" t="s">
        <v>1881</v>
      </c>
    </row>
    <row r="10" customFormat="false" ht="23.85" hidden="false" customHeight="false" outlineLevel="0" collapsed="false">
      <c r="A10" s="5" t="s">
        <v>1882</v>
      </c>
      <c r="B10" s="6" t="s">
        <v>1883</v>
      </c>
      <c r="C10" s="5" t="s">
        <v>1884</v>
      </c>
      <c r="D10" s="15" t="s">
        <v>132</v>
      </c>
      <c r="E10" s="5" t="s">
        <v>1880</v>
      </c>
      <c r="F10" s="6" t="s">
        <v>1863</v>
      </c>
      <c r="G10" s="6" t="s">
        <v>1855</v>
      </c>
    </row>
    <row r="11" customFormat="false" ht="23.85" hidden="false" customHeight="false" outlineLevel="0" collapsed="false">
      <c r="A11" s="5" t="s">
        <v>1885</v>
      </c>
      <c r="B11" s="6" t="s">
        <v>1886</v>
      </c>
      <c r="C11" s="5" t="s">
        <v>1887</v>
      </c>
      <c r="D11" s="15" t="s">
        <v>132</v>
      </c>
      <c r="E11" s="5" t="s">
        <v>1880</v>
      </c>
      <c r="F11" s="6" t="s">
        <v>1863</v>
      </c>
      <c r="G11" s="6" t="s">
        <v>1855</v>
      </c>
    </row>
    <row r="12" customFormat="false" ht="23.85" hidden="false" customHeight="false" outlineLevel="0" collapsed="false">
      <c r="A12" s="5" t="s">
        <v>1888</v>
      </c>
      <c r="B12" s="6" t="s">
        <v>1889</v>
      </c>
      <c r="C12" s="5" t="s">
        <v>1890</v>
      </c>
      <c r="D12" s="15" t="s">
        <v>132</v>
      </c>
      <c r="E12" s="5" t="s">
        <v>1880</v>
      </c>
      <c r="F12" s="6" t="s">
        <v>1863</v>
      </c>
      <c r="G12" s="6" t="s">
        <v>1855</v>
      </c>
    </row>
    <row r="13" customFormat="false" ht="23.85" hidden="false" customHeight="false" outlineLevel="0" collapsed="false">
      <c r="A13" s="5" t="s">
        <v>1891</v>
      </c>
      <c r="B13" s="6" t="s">
        <v>1892</v>
      </c>
      <c r="C13" s="5" t="s">
        <v>1893</v>
      </c>
      <c r="D13" s="15" t="s">
        <v>132</v>
      </c>
      <c r="E13" s="5" t="s">
        <v>1880</v>
      </c>
      <c r="F13" s="6" t="s">
        <v>1863</v>
      </c>
      <c r="G13" s="6" t="s">
        <v>1855</v>
      </c>
    </row>
    <row r="14" customFormat="false" ht="23.85" hidden="false" customHeight="false" outlineLevel="0" collapsed="false">
      <c r="A14" s="5" t="s">
        <v>1894</v>
      </c>
      <c r="B14" s="6" t="s">
        <v>1895</v>
      </c>
      <c r="C14" s="5" t="s">
        <v>1896</v>
      </c>
      <c r="D14" s="15" t="s">
        <v>132</v>
      </c>
      <c r="E14" s="5" t="s">
        <v>1880</v>
      </c>
      <c r="F14" s="6" t="s">
        <v>1863</v>
      </c>
      <c r="G14" s="6" t="s">
        <v>1855</v>
      </c>
    </row>
    <row r="15" customFormat="false" ht="23.85" hidden="false" customHeight="false" outlineLevel="0" collapsed="false">
      <c r="A15" s="5" t="s">
        <v>1897</v>
      </c>
      <c r="B15" s="6" t="s">
        <v>1898</v>
      </c>
      <c r="C15" s="5" t="s">
        <v>1899</v>
      </c>
      <c r="D15" s="15" t="s">
        <v>132</v>
      </c>
      <c r="E15" s="5" t="s">
        <v>1880</v>
      </c>
      <c r="F15" s="6" t="s">
        <v>1863</v>
      </c>
      <c r="G15" s="6" t="s">
        <v>1855</v>
      </c>
    </row>
    <row r="16" customFormat="false" ht="23.85" hidden="false" customHeight="false" outlineLevel="0" collapsed="false">
      <c r="A16" s="5" t="s">
        <v>1900</v>
      </c>
      <c r="B16" s="6" t="s">
        <v>1901</v>
      </c>
      <c r="C16" s="5" t="s">
        <v>1902</v>
      </c>
      <c r="D16" s="15" t="s">
        <v>132</v>
      </c>
      <c r="E16" s="5" t="s">
        <v>1880</v>
      </c>
      <c r="F16" s="6" t="s">
        <v>1863</v>
      </c>
      <c r="G16" s="6" t="s">
        <v>1855</v>
      </c>
    </row>
    <row r="17" customFormat="false" ht="23.85" hidden="false" customHeight="false" outlineLevel="0" collapsed="false">
      <c r="A17" s="5" t="s">
        <v>1903</v>
      </c>
      <c r="B17" s="6" t="s">
        <v>1904</v>
      </c>
      <c r="C17" s="5" t="s">
        <v>1905</v>
      </c>
      <c r="D17" s="15" t="s">
        <v>132</v>
      </c>
      <c r="E17" s="5" t="s">
        <v>1880</v>
      </c>
      <c r="F17" s="6" t="s">
        <v>1863</v>
      </c>
      <c r="G17" s="6" t="s">
        <v>1855</v>
      </c>
    </row>
    <row r="18" customFormat="false" ht="23.85" hidden="false" customHeight="false" outlineLevel="0" collapsed="false">
      <c r="A18" s="5" t="s">
        <v>1906</v>
      </c>
      <c r="B18" s="6" t="s">
        <v>1907</v>
      </c>
      <c r="C18" s="5" t="s">
        <v>1908</v>
      </c>
      <c r="D18" s="15" t="s">
        <v>132</v>
      </c>
      <c r="E18" s="5" t="s">
        <v>1880</v>
      </c>
      <c r="F18" s="6" t="s">
        <v>1863</v>
      </c>
      <c r="G18" s="6" t="s">
        <v>1855</v>
      </c>
    </row>
    <row r="19" customFormat="false" ht="23.85" hidden="false" customHeight="false" outlineLevel="0" collapsed="false">
      <c r="A19" s="5" t="s">
        <v>1909</v>
      </c>
      <c r="B19" s="6" t="s">
        <v>1910</v>
      </c>
      <c r="C19" s="5" t="s">
        <v>1911</v>
      </c>
      <c r="D19" s="15" t="s">
        <v>132</v>
      </c>
      <c r="E19" s="5" t="s">
        <v>1880</v>
      </c>
      <c r="F19" s="6" t="s">
        <v>1912</v>
      </c>
      <c r="G19" s="6" t="s">
        <v>1855</v>
      </c>
    </row>
    <row r="20" customFormat="false" ht="23.85" hidden="false" customHeight="false" outlineLevel="0" collapsed="false">
      <c r="A20" s="5" t="s">
        <v>1913</v>
      </c>
      <c r="B20" s="6" t="s">
        <v>1914</v>
      </c>
      <c r="C20" s="5" t="s">
        <v>1915</v>
      </c>
      <c r="D20" s="15" t="s">
        <v>132</v>
      </c>
      <c r="E20" s="5" t="s">
        <v>1880</v>
      </c>
      <c r="F20" s="6" t="s">
        <v>1916</v>
      </c>
      <c r="G20" s="6" t="s">
        <v>1855</v>
      </c>
    </row>
    <row r="21" customFormat="false" ht="23.85" hidden="false" customHeight="false" outlineLevel="0" collapsed="false">
      <c r="A21" s="5" t="s">
        <v>1917</v>
      </c>
      <c r="B21" s="6" t="s">
        <v>1918</v>
      </c>
      <c r="C21" s="5" t="s">
        <v>1919</v>
      </c>
      <c r="D21" s="15" t="s">
        <v>132</v>
      </c>
      <c r="E21" s="5" t="s">
        <v>1880</v>
      </c>
      <c r="F21" s="6" t="s">
        <v>1863</v>
      </c>
      <c r="G21" s="6" t="s">
        <v>1855</v>
      </c>
    </row>
    <row r="22" customFormat="false" ht="23.85" hidden="false" customHeight="false" outlineLevel="0" collapsed="false">
      <c r="A22" s="5" t="s">
        <v>1920</v>
      </c>
      <c r="B22" s="6" t="s">
        <v>1921</v>
      </c>
      <c r="C22" s="5" t="s">
        <v>1922</v>
      </c>
      <c r="D22" s="15" t="s">
        <v>132</v>
      </c>
      <c r="E22" s="5" t="s">
        <v>1923</v>
      </c>
      <c r="F22" s="6" t="s">
        <v>1863</v>
      </c>
      <c r="G22" s="6" t="s">
        <v>1855</v>
      </c>
    </row>
    <row r="23" customFormat="false" ht="23.85" hidden="false" customHeight="false" outlineLevel="0" collapsed="false">
      <c r="A23" s="5" t="s">
        <v>1924</v>
      </c>
      <c r="B23" s="6" t="s">
        <v>1925</v>
      </c>
      <c r="C23" s="5" t="s">
        <v>1926</v>
      </c>
      <c r="D23" s="15" t="s">
        <v>132</v>
      </c>
      <c r="E23" s="5" t="s">
        <v>1923</v>
      </c>
      <c r="F23" s="6" t="s">
        <v>1863</v>
      </c>
      <c r="G23" s="6" t="s">
        <v>1855</v>
      </c>
    </row>
    <row r="24" customFormat="false" ht="23.85" hidden="false" customHeight="false" outlineLevel="0" collapsed="false">
      <c r="A24" s="5" t="s">
        <v>1927</v>
      </c>
      <c r="B24" s="6" t="s">
        <v>1928</v>
      </c>
      <c r="C24" s="5" t="s">
        <v>1929</v>
      </c>
      <c r="D24" s="15" t="s">
        <v>132</v>
      </c>
      <c r="E24" s="5" t="s">
        <v>1930</v>
      </c>
      <c r="F24" s="6" t="s">
        <v>1863</v>
      </c>
      <c r="G24" s="6" t="s">
        <v>1855</v>
      </c>
    </row>
    <row r="25" customFormat="false" ht="23.85" hidden="false" customHeight="false" outlineLevel="0" collapsed="false">
      <c r="A25" s="5" t="s">
        <v>1931</v>
      </c>
      <c r="B25" s="6" t="s">
        <v>1932</v>
      </c>
      <c r="C25" s="5" t="s">
        <v>1933</v>
      </c>
      <c r="D25" s="15" t="s">
        <v>132</v>
      </c>
      <c r="E25" s="5" t="s">
        <v>1930</v>
      </c>
      <c r="F25" s="6" t="s">
        <v>1863</v>
      </c>
      <c r="G25" s="6" t="s">
        <v>1855</v>
      </c>
    </row>
    <row r="26" customFormat="false" ht="23.85" hidden="false" customHeight="false" outlineLevel="0" collapsed="false">
      <c r="A26" s="5" t="s">
        <v>1934</v>
      </c>
      <c r="B26" s="6" t="s">
        <v>1935</v>
      </c>
      <c r="C26" s="5" t="s">
        <v>1936</v>
      </c>
      <c r="D26" s="15" t="s">
        <v>132</v>
      </c>
      <c r="E26" s="5" t="s">
        <v>1930</v>
      </c>
      <c r="F26" s="6" t="s">
        <v>1863</v>
      </c>
      <c r="G26" s="6" t="s">
        <v>1937</v>
      </c>
    </row>
    <row r="27" customFormat="false" ht="23.85" hidden="false" customHeight="false" outlineLevel="0" collapsed="false">
      <c r="A27" s="5" t="s">
        <v>1938</v>
      </c>
      <c r="B27" s="6" t="s">
        <v>1939</v>
      </c>
      <c r="C27" s="5" t="s">
        <v>1940</v>
      </c>
      <c r="D27" s="15" t="s">
        <v>132</v>
      </c>
      <c r="E27" s="5" t="s">
        <v>1941</v>
      </c>
      <c r="F27" s="6" t="s">
        <v>1863</v>
      </c>
      <c r="G27" s="6" t="s">
        <v>1937</v>
      </c>
    </row>
    <row r="28" customFormat="false" ht="23.85" hidden="false" customHeight="false" outlineLevel="0" collapsed="false">
      <c r="A28" s="5" t="s">
        <v>1942</v>
      </c>
      <c r="B28" s="6" t="s">
        <v>1943</v>
      </c>
      <c r="C28" s="5" t="s">
        <v>1944</v>
      </c>
      <c r="D28" s="15" t="s">
        <v>132</v>
      </c>
      <c r="E28" s="5" t="s">
        <v>1941</v>
      </c>
      <c r="F28" s="6" t="s">
        <v>1863</v>
      </c>
      <c r="G28" s="6" t="s">
        <v>1937</v>
      </c>
    </row>
    <row r="29" customFormat="false" ht="23.85" hidden="false" customHeight="false" outlineLevel="0" collapsed="false">
      <c r="A29" s="5" t="s">
        <v>1945</v>
      </c>
      <c r="B29" s="6" t="s">
        <v>1946</v>
      </c>
      <c r="C29" s="5" t="s">
        <v>1947</v>
      </c>
      <c r="D29" s="15" t="s">
        <v>132</v>
      </c>
      <c r="E29" s="5" t="s">
        <v>1941</v>
      </c>
      <c r="F29" s="6" t="s">
        <v>1863</v>
      </c>
      <c r="G29" s="6" t="s">
        <v>1937</v>
      </c>
    </row>
    <row r="30" customFormat="false" ht="23.85" hidden="false" customHeight="false" outlineLevel="0" collapsed="false">
      <c r="A30" s="5" t="s">
        <v>1948</v>
      </c>
      <c r="B30" s="6" t="s">
        <v>1949</v>
      </c>
      <c r="C30" s="5" t="s">
        <v>1950</v>
      </c>
      <c r="D30" s="15" t="s">
        <v>132</v>
      </c>
      <c r="E30" s="5" t="s">
        <v>1941</v>
      </c>
      <c r="F30" s="6" t="s">
        <v>1863</v>
      </c>
      <c r="G30" s="6" t="s">
        <v>1937</v>
      </c>
    </row>
    <row r="31" customFormat="false" ht="23.85" hidden="false" customHeight="false" outlineLevel="0" collapsed="false">
      <c r="A31" s="5" t="s">
        <v>1951</v>
      </c>
      <c r="B31" s="6" t="s">
        <v>1952</v>
      </c>
      <c r="C31" s="5" t="s">
        <v>1953</v>
      </c>
      <c r="D31" s="15" t="s">
        <v>132</v>
      </c>
      <c r="E31" s="5" t="s">
        <v>1941</v>
      </c>
      <c r="F31" s="6" t="s">
        <v>1863</v>
      </c>
      <c r="G31" s="6" t="s">
        <v>1937</v>
      </c>
    </row>
    <row r="32" customFormat="false" ht="23.85" hidden="false" customHeight="false" outlineLevel="0" collapsed="false">
      <c r="A32" s="5" t="s">
        <v>1954</v>
      </c>
      <c r="B32" s="6" t="s">
        <v>1955</v>
      </c>
      <c r="C32" s="5" t="s">
        <v>1956</v>
      </c>
      <c r="D32" s="15" t="s">
        <v>132</v>
      </c>
      <c r="E32" s="5" t="s">
        <v>1941</v>
      </c>
      <c r="F32" s="6" t="s">
        <v>1863</v>
      </c>
      <c r="G32" s="6" t="s">
        <v>1937</v>
      </c>
    </row>
    <row r="33" customFormat="false" ht="23.85" hidden="false" customHeight="false" outlineLevel="0" collapsed="false">
      <c r="A33" s="5" t="s">
        <v>1957</v>
      </c>
      <c r="B33" s="6" t="s">
        <v>1958</v>
      </c>
      <c r="C33" s="5" t="s">
        <v>1959</v>
      </c>
      <c r="D33" s="15" t="s">
        <v>132</v>
      </c>
      <c r="E33" s="5" t="s">
        <v>1941</v>
      </c>
      <c r="F33" s="6" t="s">
        <v>1863</v>
      </c>
      <c r="G33" s="6" t="s">
        <v>1937</v>
      </c>
    </row>
    <row r="34" customFormat="false" ht="23.85" hidden="false" customHeight="false" outlineLevel="0" collapsed="false">
      <c r="A34" s="5" t="s">
        <v>1960</v>
      </c>
      <c r="B34" s="6" t="s">
        <v>1961</v>
      </c>
      <c r="C34" s="5" t="s">
        <v>1962</v>
      </c>
      <c r="D34" s="15" t="s">
        <v>132</v>
      </c>
      <c r="E34" s="5" t="s">
        <v>1941</v>
      </c>
      <c r="F34" s="6" t="s">
        <v>1863</v>
      </c>
      <c r="G34" s="6" t="s">
        <v>1937</v>
      </c>
    </row>
    <row r="35" customFormat="false" ht="23.85" hidden="false" customHeight="false" outlineLevel="0" collapsed="false">
      <c r="A35" s="5" t="s">
        <v>1963</v>
      </c>
      <c r="B35" s="6" t="s">
        <v>1964</v>
      </c>
      <c r="C35" s="5" t="s">
        <v>1965</v>
      </c>
      <c r="D35" s="15" t="s">
        <v>132</v>
      </c>
      <c r="E35" s="5" t="s">
        <v>1941</v>
      </c>
      <c r="F35" s="6" t="s">
        <v>1966</v>
      </c>
      <c r="G35" s="6" t="s">
        <v>1937</v>
      </c>
    </row>
    <row r="36" customFormat="false" ht="23.85" hidden="false" customHeight="false" outlineLevel="0" collapsed="false">
      <c r="A36" s="5" t="s">
        <v>1967</v>
      </c>
      <c r="B36" s="6" t="s">
        <v>1968</v>
      </c>
      <c r="C36" s="5" t="s">
        <v>1969</v>
      </c>
      <c r="D36" s="15" t="s">
        <v>132</v>
      </c>
      <c r="E36" s="5" t="s">
        <v>1941</v>
      </c>
      <c r="F36" s="6" t="s">
        <v>1863</v>
      </c>
      <c r="G36" s="6" t="s">
        <v>1937</v>
      </c>
    </row>
    <row r="37" customFormat="false" ht="23.85" hidden="false" customHeight="false" outlineLevel="0" collapsed="false">
      <c r="A37" s="5" t="s">
        <v>1970</v>
      </c>
      <c r="B37" s="6" t="s">
        <v>1971</v>
      </c>
      <c r="C37" s="5" t="s">
        <v>1972</v>
      </c>
      <c r="D37" s="15" t="s">
        <v>132</v>
      </c>
      <c r="E37" s="5" t="s">
        <v>1941</v>
      </c>
      <c r="F37" s="6" t="s">
        <v>1863</v>
      </c>
      <c r="G37" s="6" t="s">
        <v>1937</v>
      </c>
    </row>
    <row r="38" customFormat="false" ht="23.85" hidden="false" customHeight="false" outlineLevel="0" collapsed="false">
      <c r="A38" s="5" t="s">
        <v>1973</v>
      </c>
      <c r="B38" s="6" t="s">
        <v>1974</v>
      </c>
      <c r="C38" s="5" t="s">
        <v>1975</v>
      </c>
      <c r="D38" s="15" t="s">
        <v>132</v>
      </c>
      <c r="E38" s="5" t="s">
        <v>1941</v>
      </c>
      <c r="F38" s="6" t="s">
        <v>1863</v>
      </c>
      <c r="G38" s="6" t="s">
        <v>1937</v>
      </c>
    </row>
    <row r="39" customFormat="false" ht="23.85" hidden="false" customHeight="false" outlineLevel="0" collapsed="false">
      <c r="A39" s="5" t="s">
        <v>1976</v>
      </c>
      <c r="B39" s="6" t="s">
        <v>1977</v>
      </c>
      <c r="C39" s="5" t="s">
        <v>1978</v>
      </c>
      <c r="D39" s="15" t="s">
        <v>132</v>
      </c>
      <c r="E39" s="5" t="s">
        <v>1941</v>
      </c>
      <c r="F39" s="6" t="s">
        <v>1863</v>
      </c>
      <c r="G39" s="6" t="s">
        <v>1937</v>
      </c>
    </row>
    <row r="40" customFormat="false" ht="23.85" hidden="false" customHeight="false" outlineLevel="0" collapsed="false">
      <c r="A40" s="5" t="s">
        <v>1979</v>
      </c>
      <c r="B40" s="6" t="s">
        <v>1980</v>
      </c>
      <c r="C40" s="5" t="s">
        <v>1981</v>
      </c>
      <c r="D40" s="15" t="s">
        <v>132</v>
      </c>
      <c r="E40" s="5" t="s">
        <v>1941</v>
      </c>
      <c r="F40" s="6" t="s">
        <v>1863</v>
      </c>
      <c r="G40" s="6" t="s">
        <v>1937</v>
      </c>
    </row>
    <row r="41" customFormat="false" ht="23.85" hidden="false" customHeight="false" outlineLevel="0" collapsed="false">
      <c r="A41" s="5" t="s">
        <v>1982</v>
      </c>
      <c r="B41" s="6" t="s">
        <v>1983</v>
      </c>
      <c r="C41" s="5" t="s">
        <v>1984</v>
      </c>
      <c r="D41" s="15" t="s">
        <v>132</v>
      </c>
      <c r="E41" s="5" t="s">
        <v>1985</v>
      </c>
      <c r="F41" s="6" t="s">
        <v>1863</v>
      </c>
      <c r="G41" s="6" t="s">
        <v>1937</v>
      </c>
    </row>
    <row r="42" customFormat="false" ht="23.85" hidden="false" customHeight="false" outlineLevel="0" collapsed="false">
      <c r="A42" s="5" t="s">
        <v>1986</v>
      </c>
      <c r="B42" s="6" t="s">
        <v>1987</v>
      </c>
      <c r="C42" s="5" t="s">
        <v>1988</v>
      </c>
      <c r="D42" s="15" t="s">
        <v>132</v>
      </c>
      <c r="E42" s="5" t="s">
        <v>1985</v>
      </c>
      <c r="F42" s="6" t="s">
        <v>1863</v>
      </c>
      <c r="G42" s="6" t="s">
        <v>1937</v>
      </c>
    </row>
    <row r="43" customFormat="false" ht="23.85" hidden="false" customHeight="false" outlineLevel="0" collapsed="false">
      <c r="A43" s="5" t="s">
        <v>1989</v>
      </c>
      <c r="B43" s="6" t="s">
        <v>1990</v>
      </c>
      <c r="C43" s="5" t="s">
        <v>1380</v>
      </c>
      <c r="D43" s="15" t="s">
        <v>132</v>
      </c>
      <c r="E43" s="5" t="s">
        <v>1985</v>
      </c>
      <c r="F43" s="6" t="s">
        <v>1991</v>
      </c>
      <c r="G43" s="6" t="s">
        <v>1992</v>
      </c>
    </row>
    <row r="44" customFormat="false" ht="15" hidden="false" customHeight="false" outlineLevel="0" collapsed="false">
      <c r="A44" s="5" t="s">
        <v>1993</v>
      </c>
      <c r="B44" s="6" t="s">
        <v>1994</v>
      </c>
      <c r="C44" s="5" t="s">
        <v>1995</v>
      </c>
      <c r="D44" s="15" t="s">
        <v>132</v>
      </c>
      <c r="E44" s="5" t="s">
        <v>1996</v>
      </c>
      <c r="F44" s="6" t="s">
        <v>1991</v>
      </c>
      <c r="G44" s="6" t="s">
        <v>1992</v>
      </c>
    </row>
    <row r="45" customFormat="false" ht="15" hidden="false" customHeight="false" outlineLevel="0" collapsed="false">
      <c r="A45" s="5" t="s">
        <v>1997</v>
      </c>
      <c r="B45" s="6" t="s">
        <v>1998</v>
      </c>
      <c r="C45" s="5" t="s">
        <v>1999</v>
      </c>
      <c r="D45" s="15" t="s">
        <v>132</v>
      </c>
      <c r="E45" s="5" t="s">
        <v>1985</v>
      </c>
      <c r="F45" s="6" t="s">
        <v>1991</v>
      </c>
      <c r="G45" s="6" t="s">
        <v>2000</v>
      </c>
    </row>
    <row r="46" customFormat="false" ht="23.85" hidden="false" customHeight="false" outlineLevel="0" collapsed="false">
      <c r="A46" s="5" t="s">
        <v>2001</v>
      </c>
      <c r="B46" s="6" t="s">
        <v>2002</v>
      </c>
      <c r="C46" s="5" t="s">
        <v>1380</v>
      </c>
      <c r="D46" s="15" t="s">
        <v>132</v>
      </c>
      <c r="E46" s="5" t="s">
        <v>14</v>
      </c>
      <c r="F46" s="6" t="s">
        <v>2003</v>
      </c>
      <c r="G46" s="6" t="s">
        <v>2004</v>
      </c>
    </row>
    <row r="48" customFormat="false" ht="15" hidden="false" customHeight="false" outlineLevel="0" collapsed="false">
      <c r="A48" s="2" t="s">
        <v>2005</v>
      </c>
    </row>
  </sheetData>
  <autoFilter ref="A1:G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70"/>
    <col collapsed="false" customWidth="true" hidden="false" outlineLevel="0" max="4" min="4" style="0" width="32"/>
    <col collapsed="false" customWidth="true" hidden="false" outlineLevel="0" max="5" min="5" style="0" width="9"/>
    <col collapsed="false" customWidth="true" hidden="false" outlineLevel="0" max="6" min="6" style="0" width="18"/>
    <col collapsed="false" customWidth="true" hidden="false" outlineLevel="0" max="8" min="7" style="0" width="11"/>
    <col collapsed="false" customWidth="true" hidden="false" outlineLevel="0" max="9" min="9" style="0" width="13"/>
    <col collapsed="false" customWidth="true" hidden="false" outlineLevel="0" max="10" min="10" style="0" width="50"/>
  </cols>
  <sheetData>
    <row r="1" customFormat="false" ht="30" hidden="false" customHeight="true" outlineLevel="0" collapsed="false">
      <c r="A1" s="4" t="s">
        <v>3</v>
      </c>
      <c r="B1" s="4" t="s">
        <v>2006</v>
      </c>
      <c r="C1" s="4" t="s">
        <v>2007</v>
      </c>
      <c r="D1" s="4" t="s">
        <v>2008</v>
      </c>
      <c r="E1" s="4" t="s">
        <v>2009</v>
      </c>
      <c r="F1" s="4" t="s">
        <v>122</v>
      </c>
      <c r="G1" s="4" t="s">
        <v>2010</v>
      </c>
      <c r="H1" s="4" t="s">
        <v>2011</v>
      </c>
      <c r="I1" s="4" t="s">
        <v>2012</v>
      </c>
      <c r="J1" s="4" t="s">
        <v>126</v>
      </c>
    </row>
    <row r="2" customFormat="false" ht="15" hidden="false" customHeight="false" outlineLevel="0" collapsed="false">
      <c r="A2" s="5" t="s">
        <v>10</v>
      </c>
      <c r="B2" s="5" t="n">
        <v>8</v>
      </c>
      <c r="C2" s="6" t="s">
        <v>2013</v>
      </c>
      <c r="D2" s="5" t="s">
        <v>1380</v>
      </c>
      <c r="E2" s="5" t="s">
        <v>12</v>
      </c>
      <c r="F2" s="15" t="s">
        <v>44</v>
      </c>
      <c r="G2" s="5" t="s">
        <v>1985</v>
      </c>
      <c r="H2" s="5" t="s">
        <v>1985</v>
      </c>
      <c r="I2" s="15" t="s">
        <v>132</v>
      </c>
      <c r="J2" s="7" t="s">
        <v>1383</v>
      </c>
    </row>
    <row r="3" customFormat="false" ht="15" hidden="false" customHeight="false" outlineLevel="0" collapsed="false">
      <c r="A3" s="5" t="s">
        <v>10</v>
      </c>
      <c r="B3" s="5" t="n">
        <v>7</v>
      </c>
      <c r="C3" s="6" t="s">
        <v>2014</v>
      </c>
      <c r="D3" s="5" t="s">
        <v>1999</v>
      </c>
      <c r="E3" s="5" t="s">
        <v>12</v>
      </c>
      <c r="F3" s="15" t="s">
        <v>44</v>
      </c>
      <c r="G3" s="5" t="s">
        <v>2015</v>
      </c>
      <c r="H3" s="5" t="s">
        <v>2015</v>
      </c>
      <c r="I3" s="15" t="s">
        <v>132</v>
      </c>
      <c r="J3" s="7" t="s">
        <v>1409</v>
      </c>
    </row>
    <row r="4" customFormat="false" ht="15" hidden="false" customHeight="false" outlineLevel="0" collapsed="false">
      <c r="A4" s="5" t="s">
        <v>10</v>
      </c>
      <c r="B4" s="5" t="n">
        <v>6</v>
      </c>
      <c r="C4" s="6" t="s">
        <v>2016</v>
      </c>
      <c r="D4" s="5" t="s">
        <v>1380</v>
      </c>
      <c r="E4" s="5" t="s">
        <v>12</v>
      </c>
      <c r="F4" s="15" t="s">
        <v>44</v>
      </c>
      <c r="G4" s="5" t="s">
        <v>2015</v>
      </c>
      <c r="H4" s="5" t="s">
        <v>2015</v>
      </c>
      <c r="I4" s="15" t="s">
        <v>132</v>
      </c>
      <c r="J4" s="7" t="s">
        <v>1403</v>
      </c>
    </row>
    <row r="5" customFormat="false" ht="15" hidden="false" customHeight="false" outlineLevel="0" collapsed="false">
      <c r="A5" s="5" t="s">
        <v>10</v>
      </c>
      <c r="B5" s="5" t="n">
        <v>5</v>
      </c>
      <c r="C5" s="6" t="s">
        <v>2017</v>
      </c>
      <c r="D5" s="5" t="s">
        <v>1988</v>
      </c>
      <c r="E5" s="5" t="s">
        <v>12</v>
      </c>
      <c r="F5" s="15" t="s">
        <v>44</v>
      </c>
      <c r="G5" s="5" t="s">
        <v>2015</v>
      </c>
      <c r="H5" s="5" t="s">
        <v>1985</v>
      </c>
      <c r="I5" s="15" t="s">
        <v>132</v>
      </c>
      <c r="J5" s="7" t="s">
        <v>2018</v>
      </c>
    </row>
    <row r="6" customFormat="false" ht="23.85" hidden="false" customHeight="false" outlineLevel="0" collapsed="false">
      <c r="A6" s="5" t="s">
        <v>10</v>
      </c>
      <c r="B6" s="5" t="n">
        <v>4</v>
      </c>
      <c r="C6" s="6" t="s">
        <v>2019</v>
      </c>
      <c r="D6" s="5" t="s">
        <v>1984</v>
      </c>
      <c r="E6" s="5" t="s">
        <v>12</v>
      </c>
      <c r="F6" s="15" t="s">
        <v>44</v>
      </c>
      <c r="G6" s="5" t="s">
        <v>2015</v>
      </c>
      <c r="H6" s="5" t="s">
        <v>1985</v>
      </c>
      <c r="I6" s="15" t="s">
        <v>132</v>
      </c>
      <c r="J6" s="7" t="s">
        <v>2020</v>
      </c>
    </row>
    <row r="7" customFormat="false" ht="15" hidden="false" customHeight="false" outlineLevel="0" collapsed="false">
      <c r="A7" s="5" t="s">
        <v>10</v>
      </c>
      <c r="B7" s="5" t="n">
        <v>3</v>
      </c>
      <c r="C7" s="6" t="s">
        <v>2021</v>
      </c>
      <c r="D7" s="5" t="s">
        <v>1380</v>
      </c>
      <c r="E7" s="5" t="s">
        <v>12</v>
      </c>
      <c r="F7" s="15" t="s">
        <v>44</v>
      </c>
      <c r="G7" s="5" t="s">
        <v>1996</v>
      </c>
      <c r="H7" s="5" t="s">
        <v>2015</v>
      </c>
      <c r="I7" s="15" t="s">
        <v>132</v>
      </c>
      <c r="J7" s="7" t="s">
        <v>2022</v>
      </c>
    </row>
    <row r="8" customFormat="false" ht="15" hidden="false" customHeight="false" outlineLevel="0" collapsed="false">
      <c r="A8" s="5" t="s">
        <v>10</v>
      </c>
      <c r="B8" s="5" t="n">
        <v>2</v>
      </c>
      <c r="C8" s="6" t="s">
        <v>2023</v>
      </c>
      <c r="D8" s="5" t="s">
        <v>1995</v>
      </c>
      <c r="E8" s="5" t="s">
        <v>12</v>
      </c>
      <c r="F8" s="15" t="s">
        <v>44</v>
      </c>
      <c r="G8" s="5" t="s">
        <v>1996</v>
      </c>
      <c r="H8" s="5" t="s">
        <v>1996</v>
      </c>
      <c r="I8" s="15" t="s">
        <v>132</v>
      </c>
      <c r="J8" s="7" t="s">
        <v>1398</v>
      </c>
    </row>
    <row r="9" customFormat="false" ht="23.85" hidden="false" customHeight="false" outlineLevel="0" collapsed="false">
      <c r="A9" s="5" t="s">
        <v>10</v>
      </c>
      <c r="B9" s="5" t="n">
        <v>1</v>
      </c>
      <c r="C9" s="6" t="s">
        <v>2024</v>
      </c>
      <c r="D9" s="5" t="s">
        <v>1380</v>
      </c>
      <c r="E9" s="5" t="s">
        <v>12</v>
      </c>
      <c r="F9" s="15" t="s">
        <v>44</v>
      </c>
      <c r="G9" s="5" t="s">
        <v>1941</v>
      </c>
      <c r="H9" s="5" t="s">
        <v>1996</v>
      </c>
      <c r="I9" s="15" t="s">
        <v>132</v>
      </c>
      <c r="J9" s="7" t="s">
        <v>1390</v>
      </c>
    </row>
    <row r="10" customFormat="false" ht="15" hidden="false" customHeight="false" outlineLevel="0" collapsed="false">
      <c r="A10" s="5" t="s">
        <v>17</v>
      </c>
      <c r="B10" s="5" t="n">
        <v>12</v>
      </c>
      <c r="C10" s="6" t="s">
        <v>2025</v>
      </c>
      <c r="D10" s="5" t="s">
        <v>1593</v>
      </c>
      <c r="E10" s="5" t="s">
        <v>19</v>
      </c>
      <c r="F10" s="15" t="s">
        <v>44</v>
      </c>
      <c r="G10" s="5" t="s">
        <v>1985</v>
      </c>
      <c r="H10" s="5" t="s">
        <v>14</v>
      </c>
      <c r="I10" s="15" t="s">
        <v>132</v>
      </c>
      <c r="J10" s="7" t="s">
        <v>1594</v>
      </c>
    </row>
    <row r="11" customFormat="false" ht="15" hidden="false" customHeight="false" outlineLevel="0" collapsed="false">
      <c r="A11" s="5" t="s">
        <v>17</v>
      </c>
      <c r="B11" s="5" t="n">
        <v>14</v>
      </c>
      <c r="C11" s="6" t="s">
        <v>2026</v>
      </c>
      <c r="D11" s="5" t="s">
        <v>1380</v>
      </c>
      <c r="E11" s="5" t="s">
        <v>19</v>
      </c>
      <c r="F11" s="19" t="s">
        <v>45</v>
      </c>
      <c r="G11" s="5" t="s">
        <v>14</v>
      </c>
      <c r="H11" s="5" t="s">
        <v>1382</v>
      </c>
      <c r="I11" s="19" t="s">
        <v>1599</v>
      </c>
      <c r="J11" s="7" t="s">
        <v>1605</v>
      </c>
    </row>
    <row r="12" customFormat="false" ht="15" hidden="false" customHeight="false" outlineLevel="0" collapsed="false">
      <c r="A12" s="5" t="s">
        <v>17</v>
      </c>
      <c r="B12" s="5" t="n">
        <v>13</v>
      </c>
      <c r="C12" s="6" t="s">
        <v>2027</v>
      </c>
      <c r="D12" s="5" t="s">
        <v>1586</v>
      </c>
      <c r="E12" s="5" t="s">
        <v>19</v>
      </c>
      <c r="F12" s="15" t="s">
        <v>44</v>
      </c>
      <c r="G12" s="5" t="s">
        <v>1985</v>
      </c>
      <c r="H12" s="5" t="s">
        <v>14</v>
      </c>
      <c r="I12" s="15" t="s">
        <v>132</v>
      </c>
      <c r="J12" s="7" t="s">
        <v>1588</v>
      </c>
    </row>
    <row r="13" customFormat="false" ht="23.85" hidden="false" customHeight="false" outlineLevel="0" collapsed="false">
      <c r="A13" s="5" t="s">
        <v>17</v>
      </c>
      <c r="B13" s="5" t="n">
        <v>11</v>
      </c>
      <c r="C13" s="6" t="s">
        <v>2028</v>
      </c>
      <c r="D13" s="5" t="s">
        <v>1593</v>
      </c>
      <c r="E13" s="5" t="s">
        <v>19</v>
      </c>
      <c r="F13" s="15" t="s">
        <v>44</v>
      </c>
      <c r="G13" s="5" t="s">
        <v>1941</v>
      </c>
      <c r="H13" s="5" t="s">
        <v>1941</v>
      </c>
      <c r="I13" s="15" t="s">
        <v>132</v>
      </c>
      <c r="J13" s="7" t="s">
        <v>1561</v>
      </c>
    </row>
    <row r="14" customFormat="false" ht="15" hidden="false" customHeight="false" outlineLevel="0" collapsed="false">
      <c r="A14" s="5" t="s">
        <v>17</v>
      </c>
      <c r="B14" s="5" t="n">
        <v>10</v>
      </c>
      <c r="C14" s="6" t="s">
        <v>2029</v>
      </c>
      <c r="D14" s="5" t="s">
        <v>1380</v>
      </c>
      <c r="E14" s="5" t="s">
        <v>19</v>
      </c>
      <c r="F14" s="15" t="s">
        <v>44</v>
      </c>
      <c r="G14" s="5" t="s">
        <v>1941</v>
      </c>
      <c r="H14" s="5" t="s">
        <v>1985</v>
      </c>
      <c r="I14" s="15" t="s">
        <v>132</v>
      </c>
      <c r="J14" s="7" t="s">
        <v>1580</v>
      </c>
    </row>
    <row r="15" customFormat="false" ht="15" hidden="false" customHeight="false" outlineLevel="0" collapsed="false">
      <c r="A15" s="5" t="s">
        <v>17</v>
      </c>
      <c r="B15" s="5" t="n">
        <v>9</v>
      </c>
      <c r="C15" s="6" t="s">
        <v>2030</v>
      </c>
      <c r="D15" s="5" t="s">
        <v>1566</v>
      </c>
      <c r="E15" s="5" t="s">
        <v>19</v>
      </c>
      <c r="F15" s="15" t="s">
        <v>44</v>
      </c>
      <c r="G15" s="5" t="s">
        <v>1941</v>
      </c>
      <c r="H15" s="5" t="s">
        <v>1985</v>
      </c>
      <c r="I15" s="15" t="s">
        <v>132</v>
      </c>
      <c r="J15" s="7" t="s">
        <v>1568</v>
      </c>
    </row>
    <row r="16" customFormat="false" ht="15" hidden="false" customHeight="false" outlineLevel="0" collapsed="false">
      <c r="A16" s="5" t="s">
        <v>17</v>
      </c>
      <c r="B16" s="5" t="n">
        <v>8</v>
      </c>
      <c r="C16" s="6" t="s">
        <v>2031</v>
      </c>
      <c r="D16" s="5" t="s">
        <v>1593</v>
      </c>
      <c r="E16" s="5" t="s">
        <v>19</v>
      </c>
      <c r="F16" s="15" t="s">
        <v>44</v>
      </c>
      <c r="G16" s="5" t="s">
        <v>1941</v>
      </c>
      <c r="H16" s="5" t="s">
        <v>1941</v>
      </c>
      <c r="I16" s="15" t="s">
        <v>132</v>
      </c>
      <c r="J16" s="7" t="s">
        <v>1554</v>
      </c>
    </row>
    <row r="17" customFormat="false" ht="15" hidden="false" customHeight="false" outlineLevel="0" collapsed="false">
      <c r="A17" s="5" t="s">
        <v>17</v>
      </c>
      <c r="B17" s="5" t="n">
        <v>7</v>
      </c>
      <c r="C17" s="6" t="s">
        <v>2032</v>
      </c>
      <c r="D17" s="5" t="s">
        <v>2033</v>
      </c>
      <c r="E17" s="5" t="s">
        <v>19</v>
      </c>
      <c r="F17" s="15" t="s">
        <v>44</v>
      </c>
      <c r="G17" s="5" t="s">
        <v>2034</v>
      </c>
      <c r="H17" s="5" t="s">
        <v>2034</v>
      </c>
      <c r="I17" s="15" t="s">
        <v>132</v>
      </c>
      <c r="J17" s="7" t="s">
        <v>1475</v>
      </c>
    </row>
    <row r="18" customFormat="false" ht="15" hidden="false" customHeight="false" outlineLevel="0" collapsed="false">
      <c r="A18" s="5" t="s">
        <v>17</v>
      </c>
      <c r="B18" s="5" t="n">
        <v>6</v>
      </c>
      <c r="C18" s="6" t="s">
        <v>2035</v>
      </c>
      <c r="D18" s="5" t="s">
        <v>2033</v>
      </c>
      <c r="E18" s="5" t="s">
        <v>19</v>
      </c>
      <c r="F18" s="15" t="s">
        <v>44</v>
      </c>
      <c r="G18" s="5" t="s">
        <v>2034</v>
      </c>
      <c r="H18" s="5" t="s">
        <v>2034</v>
      </c>
      <c r="I18" s="15" t="s">
        <v>132</v>
      </c>
      <c r="J18" s="7" t="s">
        <v>1469</v>
      </c>
    </row>
    <row r="19" customFormat="false" ht="15" hidden="false" customHeight="false" outlineLevel="0" collapsed="false">
      <c r="A19" s="5" t="s">
        <v>17</v>
      </c>
      <c r="B19" s="5" t="n">
        <v>5</v>
      </c>
      <c r="C19" s="6" t="s">
        <v>2036</v>
      </c>
      <c r="D19" s="5" t="s">
        <v>2037</v>
      </c>
      <c r="E19" s="5" t="s">
        <v>19</v>
      </c>
      <c r="F19" s="15" t="s">
        <v>44</v>
      </c>
      <c r="G19" s="5" t="s">
        <v>2038</v>
      </c>
      <c r="H19" s="5" t="s">
        <v>2038</v>
      </c>
      <c r="I19" s="15" t="s">
        <v>132</v>
      </c>
      <c r="J19" s="7" t="s">
        <v>1464</v>
      </c>
    </row>
    <row r="20" customFormat="false" ht="15" hidden="false" customHeight="false" outlineLevel="0" collapsed="false">
      <c r="A20" s="5" t="s">
        <v>17</v>
      </c>
      <c r="B20" s="5" t="n">
        <v>4</v>
      </c>
      <c r="C20" s="6" t="s">
        <v>2039</v>
      </c>
      <c r="D20" s="5" t="s">
        <v>2040</v>
      </c>
      <c r="E20" s="5" t="s">
        <v>19</v>
      </c>
      <c r="F20" s="15" t="s">
        <v>44</v>
      </c>
      <c r="G20" s="5" t="s">
        <v>2038</v>
      </c>
      <c r="H20" s="5" t="s">
        <v>2038</v>
      </c>
      <c r="I20" s="15" t="s">
        <v>132</v>
      </c>
      <c r="J20" s="7" t="s">
        <v>1425</v>
      </c>
    </row>
    <row r="21" customFormat="false" ht="15" hidden="false" customHeight="false" outlineLevel="0" collapsed="false">
      <c r="A21" s="5" t="s">
        <v>17</v>
      </c>
      <c r="B21" s="5" t="n">
        <v>3</v>
      </c>
      <c r="C21" s="6" t="s">
        <v>2041</v>
      </c>
      <c r="D21" s="5" t="s">
        <v>2042</v>
      </c>
      <c r="E21" s="5" t="s">
        <v>19</v>
      </c>
      <c r="F21" s="15" t="s">
        <v>44</v>
      </c>
      <c r="G21" s="5" t="s">
        <v>2038</v>
      </c>
      <c r="H21" s="5" t="s">
        <v>2038</v>
      </c>
      <c r="I21" s="15" t="s">
        <v>132</v>
      </c>
      <c r="J21" s="7" t="s">
        <v>2043</v>
      </c>
    </row>
    <row r="22" customFormat="false" ht="15" hidden="false" customHeight="false" outlineLevel="0" collapsed="false">
      <c r="A22" s="5" t="s">
        <v>17</v>
      </c>
      <c r="B22" s="5" t="n">
        <v>2</v>
      </c>
      <c r="C22" s="6" t="s">
        <v>2044</v>
      </c>
      <c r="D22" s="5" t="s">
        <v>2045</v>
      </c>
      <c r="E22" s="5" t="s">
        <v>19</v>
      </c>
      <c r="F22" s="15" t="s">
        <v>44</v>
      </c>
      <c r="G22" s="5" t="s">
        <v>2038</v>
      </c>
      <c r="H22" s="5" t="s">
        <v>2038</v>
      </c>
      <c r="I22" s="15" t="s">
        <v>132</v>
      </c>
      <c r="J22" s="7" t="s">
        <v>1418</v>
      </c>
    </row>
    <row r="23" customFormat="false" ht="15" hidden="false" customHeight="false" outlineLevel="0" collapsed="false">
      <c r="A23" s="5" t="s">
        <v>17</v>
      </c>
      <c r="B23" s="5" t="n">
        <v>1</v>
      </c>
      <c r="C23" s="6" t="s">
        <v>2046</v>
      </c>
      <c r="D23" s="5" t="s">
        <v>2047</v>
      </c>
      <c r="E23" s="5" t="s">
        <v>19</v>
      </c>
      <c r="F23" s="15" t="s">
        <v>44</v>
      </c>
      <c r="G23" s="5" t="s">
        <v>2038</v>
      </c>
      <c r="H23" s="5" t="s">
        <v>2038</v>
      </c>
      <c r="I23" s="15" t="s">
        <v>132</v>
      </c>
      <c r="J23" s="7" t="s">
        <v>2048</v>
      </c>
    </row>
    <row r="24" customFormat="false" ht="15" hidden="false" customHeight="false" outlineLevel="0" collapsed="false">
      <c r="A24" s="5" t="s">
        <v>23</v>
      </c>
      <c r="B24" s="5" t="n">
        <v>5</v>
      </c>
      <c r="C24" s="6" t="s">
        <v>2049</v>
      </c>
      <c r="D24" s="5" t="s">
        <v>1380</v>
      </c>
      <c r="E24" s="5" t="s">
        <v>19</v>
      </c>
      <c r="F24" s="19" t="s">
        <v>45</v>
      </c>
      <c r="G24" s="5" t="s">
        <v>14</v>
      </c>
      <c r="H24" s="5" t="s">
        <v>1382</v>
      </c>
      <c r="I24" s="19" t="s">
        <v>1599</v>
      </c>
      <c r="J24" s="7" t="s">
        <v>1695</v>
      </c>
    </row>
    <row r="25" customFormat="false" ht="15" hidden="false" customHeight="false" outlineLevel="0" collapsed="false">
      <c r="A25" s="5" t="s">
        <v>23</v>
      </c>
      <c r="B25" s="5" t="n">
        <v>4</v>
      </c>
      <c r="C25" s="6" t="s">
        <v>2050</v>
      </c>
      <c r="D25" s="5" t="s">
        <v>1586</v>
      </c>
      <c r="E25" s="5" t="s">
        <v>19</v>
      </c>
      <c r="F25" s="15" t="s">
        <v>44</v>
      </c>
      <c r="G25" s="5" t="s">
        <v>1985</v>
      </c>
      <c r="H25" s="5" t="s">
        <v>14</v>
      </c>
      <c r="I25" s="15" t="s">
        <v>132</v>
      </c>
      <c r="J25" s="7" t="s">
        <v>1708</v>
      </c>
    </row>
    <row r="26" customFormat="false" ht="15" hidden="false" customHeight="false" outlineLevel="0" collapsed="false">
      <c r="A26" s="5" t="s">
        <v>23</v>
      </c>
      <c r="B26" s="5" t="n">
        <v>3</v>
      </c>
      <c r="C26" s="6" t="s">
        <v>2051</v>
      </c>
      <c r="D26" s="5" t="s">
        <v>1586</v>
      </c>
      <c r="E26" s="5" t="s">
        <v>19</v>
      </c>
      <c r="F26" s="15" t="s">
        <v>44</v>
      </c>
      <c r="G26" s="5" t="s">
        <v>1985</v>
      </c>
      <c r="H26" s="5" t="s">
        <v>1985</v>
      </c>
      <c r="I26" s="15" t="s">
        <v>132</v>
      </c>
      <c r="J26" s="7" t="s">
        <v>1701</v>
      </c>
    </row>
    <row r="27" customFormat="false" ht="23.85" hidden="false" customHeight="false" outlineLevel="0" collapsed="false">
      <c r="A27" s="5" t="s">
        <v>23</v>
      </c>
      <c r="B27" s="5" t="n">
        <v>2</v>
      </c>
      <c r="C27" s="6" t="s">
        <v>2052</v>
      </c>
      <c r="D27" s="5" t="s">
        <v>1566</v>
      </c>
      <c r="E27" s="5" t="s">
        <v>19</v>
      </c>
      <c r="F27" s="15" t="s">
        <v>44</v>
      </c>
      <c r="G27" s="5" t="s">
        <v>1996</v>
      </c>
      <c r="H27" s="5" t="s">
        <v>1985</v>
      </c>
      <c r="I27" s="15" t="s">
        <v>132</v>
      </c>
      <c r="J27" s="7" t="s">
        <v>1677</v>
      </c>
    </row>
    <row r="28" customFormat="false" ht="15" hidden="false" customHeight="false" outlineLevel="0" collapsed="false">
      <c r="A28" s="5" t="s">
        <v>23</v>
      </c>
      <c r="B28" s="5" t="n">
        <v>1</v>
      </c>
      <c r="C28" s="6" t="s">
        <v>2053</v>
      </c>
      <c r="D28" s="5" t="s">
        <v>1380</v>
      </c>
      <c r="E28" s="5" t="s">
        <v>19</v>
      </c>
      <c r="F28" s="15" t="s">
        <v>44</v>
      </c>
      <c r="G28" s="5" t="s">
        <v>1941</v>
      </c>
      <c r="H28" s="5" t="s">
        <v>1985</v>
      </c>
      <c r="I28" s="15" t="s">
        <v>132</v>
      </c>
      <c r="J28" s="7" t="s">
        <v>1663</v>
      </c>
    </row>
  </sheetData>
  <autoFilter ref="A1:J28"/>
  <hyperlinks>
    <hyperlink ref="J2" r:id="rId1" display="https://github.com/sanjaymorankar-debug/ATIP-DEV/pull/8"/>
    <hyperlink ref="J3" r:id="rId2" display="https://github.com/sanjaymorankar-debug/ATIP-DEV/pull/7"/>
    <hyperlink ref="J4" r:id="rId3" display="https://github.com/sanjaymorankar-debug/ATIP-DEV/pull/6"/>
    <hyperlink ref="J5" r:id="rId4" display="https://github.com/sanjaymorankar-debug/ATIP-DEV/pull/5"/>
    <hyperlink ref="J6" r:id="rId5" display="https://github.com/sanjaymorankar-debug/ATIP-DEV/pull/4"/>
    <hyperlink ref="J7" r:id="rId6" display="https://github.com/sanjaymorankar-debug/ATIP-DEV/pull/3"/>
    <hyperlink ref="J8" r:id="rId7" display="https://github.com/sanjaymorankar-debug/ATIP-DEV/pull/2"/>
    <hyperlink ref="J9" r:id="rId8" display="https://github.com/sanjaymorankar-debug/ATIP-DEV/pull/1"/>
    <hyperlink ref="J10" r:id="rId9" display="https://github.com/sanjaymorankar-debug/bkesari/pull/12"/>
    <hyperlink ref="J11" r:id="rId10" display="https://github.com/sanjaymorankar-debug/bkesari/pull/14"/>
    <hyperlink ref="J12" r:id="rId11" display="https://github.com/sanjaymorankar-debug/bkesari/pull/13"/>
    <hyperlink ref="J13" r:id="rId12" display="https://github.com/sanjaymorankar-debug/bkesari/pull/11"/>
    <hyperlink ref="J14" r:id="rId13" display="https://github.com/sanjaymorankar-debug/bkesari/pull/10"/>
    <hyperlink ref="J15" r:id="rId14" display="https://github.com/sanjaymorankar-debug/bkesari/pull/9"/>
    <hyperlink ref="J16" r:id="rId15" display="https://github.com/sanjaymorankar-debug/bkesari/pull/8"/>
    <hyperlink ref="J17" r:id="rId16" display="https://github.com/sanjaymorankar-debug/bkesari/pull/7"/>
    <hyperlink ref="J18" r:id="rId17" display="https://github.com/sanjaymorankar-debug/bkesari/pull/6"/>
    <hyperlink ref="J19" r:id="rId18" display="https://github.com/sanjaymorankar-debug/bkesari/pull/5"/>
    <hyperlink ref="J20" r:id="rId19" display="https://github.com/sanjaymorankar-debug/bkesari/pull/4"/>
    <hyperlink ref="J21" r:id="rId20" display="https://github.com/sanjaymorankar-debug/bkesari/pull/3"/>
    <hyperlink ref="J22" r:id="rId21" display="https://github.com/sanjaymorankar-debug/bkesari/pull/2"/>
    <hyperlink ref="J23" r:id="rId22" display="https://github.com/sanjaymorankar-debug/bkesari/pull/1"/>
    <hyperlink ref="J24" r:id="rId23" display="https://github.com/sanjaymorankar-debug/bkesari-platform/pull/5"/>
    <hyperlink ref="J25" r:id="rId24" display="https://github.com/sanjaymorankar-debug/bkesari-platform/pull/4"/>
    <hyperlink ref="J26" r:id="rId25" display="https://github.com/sanjaymorankar-debug/bkesari-platform/pull/3"/>
    <hyperlink ref="J27" r:id="rId26" display="https://github.com/sanjaymorankar-debug/bkesari-platform/pull/2"/>
    <hyperlink ref="J28" r:id="rId27" display="https://github.com/sanjaymorankar-debug/bkesari-platform/pull/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11"/>
    <col collapsed="false" customWidth="true" hidden="false" outlineLevel="0" max="4" min="4" style="0" width="60"/>
    <col collapsed="false" customWidth="true" hidden="false" outlineLevel="0" max="7" min="5" style="0" width="11"/>
    <col collapsed="false" customWidth="true" hidden="false" outlineLevel="0" max="8" min="8" style="0" width="22"/>
    <col collapsed="false" customWidth="true" hidden="false" outlineLevel="0" max="9" min="9" style="0" width="44"/>
  </cols>
  <sheetData>
    <row r="1" customFormat="false" ht="30" hidden="false" customHeight="true" outlineLevel="0" collapsed="false">
      <c r="A1" s="4" t="s">
        <v>3</v>
      </c>
      <c r="B1" s="4" t="s">
        <v>118</v>
      </c>
      <c r="C1" s="4" t="s">
        <v>2054</v>
      </c>
      <c r="D1" s="4" t="s">
        <v>2055</v>
      </c>
      <c r="E1" s="4" t="s">
        <v>2056</v>
      </c>
      <c r="F1" s="4" t="s">
        <v>2057</v>
      </c>
      <c r="G1" s="4" t="s">
        <v>2058</v>
      </c>
      <c r="H1" s="4" t="s">
        <v>2059</v>
      </c>
      <c r="I1" s="4" t="s">
        <v>2060</v>
      </c>
    </row>
    <row r="2" customFormat="false" ht="23.85" hidden="false" customHeight="false" outlineLevel="0" collapsed="false">
      <c r="A2" s="5" t="s">
        <v>10</v>
      </c>
      <c r="B2" s="5" t="s">
        <v>2061</v>
      </c>
      <c r="C2" s="5" t="s">
        <v>1880</v>
      </c>
      <c r="D2" s="6" t="s">
        <v>2062</v>
      </c>
      <c r="E2" s="5" t="n">
        <v>0</v>
      </c>
      <c r="F2" s="5" t="n">
        <v>146</v>
      </c>
      <c r="G2" s="5" t="n">
        <v>0</v>
      </c>
      <c r="H2" s="15" t="s">
        <v>49</v>
      </c>
      <c r="I2" s="6" t="s">
        <v>2063</v>
      </c>
    </row>
    <row r="3" customFormat="false" ht="15" hidden="false" customHeight="false" outlineLevel="0" collapsed="false">
      <c r="A3" s="5" t="s">
        <v>10</v>
      </c>
      <c r="B3" s="5" t="s">
        <v>2064</v>
      </c>
      <c r="C3" s="5" t="s">
        <v>1930</v>
      </c>
      <c r="D3" s="6" t="s">
        <v>2065</v>
      </c>
      <c r="E3" s="5" t="n">
        <v>0</v>
      </c>
      <c r="F3" s="5" t="n">
        <v>131</v>
      </c>
      <c r="G3" s="5" t="n">
        <v>0</v>
      </c>
      <c r="H3" s="15" t="s">
        <v>49</v>
      </c>
      <c r="I3" s="6" t="s">
        <v>2063</v>
      </c>
    </row>
    <row r="4" customFormat="false" ht="15" hidden="false" customHeight="false" outlineLevel="0" collapsed="false">
      <c r="A4" s="5" t="s">
        <v>10</v>
      </c>
      <c r="B4" s="5" t="s">
        <v>2066</v>
      </c>
      <c r="C4" s="5" t="s">
        <v>1854</v>
      </c>
      <c r="D4" s="6" t="s">
        <v>2067</v>
      </c>
      <c r="E4" s="5" t="n">
        <v>0</v>
      </c>
      <c r="F4" s="5" t="n">
        <v>163</v>
      </c>
      <c r="G4" s="5" t="n">
        <v>0</v>
      </c>
      <c r="H4" s="15" t="s">
        <v>49</v>
      </c>
      <c r="I4" s="6" t="s">
        <v>2063</v>
      </c>
    </row>
    <row r="5" customFormat="false" ht="23.85" hidden="false" customHeight="false" outlineLevel="0" collapsed="false">
      <c r="A5" s="5" t="s">
        <v>10</v>
      </c>
      <c r="B5" s="5" t="s">
        <v>2068</v>
      </c>
      <c r="C5" s="5" t="s">
        <v>1854</v>
      </c>
      <c r="D5" s="6" t="s">
        <v>2069</v>
      </c>
      <c r="E5" s="5" t="n">
        <v>0</v>
      </c>
      <c r="F5" s="5" t="n">
        <v>167</v>
      </c>
      <c r="G5" s="5" t="n">
        <v>0</v>
      </c>
      <c r="H5" s="15" t="s">
        <v>49</v>
      </c>
      <c r="I5" s="6" t="s">
        <v>2063</v>
      </c>
    </row>
    <row r="6" customFormat="false" ht="15" hidden="false" customHeight="false" outlineLevel="0" collapsed="false">
      <c r="A6" s="5" t="s">
        <v>10</v>
      </c>
      <c r="B6" s="5" t="s">
        <v>2070</v>
      </c>
      <c r="C6" s="5" t="s">
        <v>1941</v>
      </c>
      <c r="D6" s="6" t="s">
        <v>2071</v>
      </c>
      <c r="E6" s="5" t="n">
        <v>0</v>
      </c>
      <c r="F6" s="5" t="n">
        <v>129</v>
      </c>
      <c r="G6" s="5" t="n">
        <v>0</v>
      </c>
      <c r="H6" s="15" t="s">
        <v>49</v>
      </c>
      <c r="I6" s="6" t="s">
        <v>2063</v>
      </c>
    </row>
    <row r="7" customFormat="false" ht="15" hidden="false" customHeight="false" outlineLevel="0" collapsed="false">
      <c r="A7" s="5" t="s">
        <v>10</v>
      </c>
      <c r="B7" s="5" t="s">
        <v>2072</v>
      </c>
      <c r="C7" s="5" t="s">
        <v>1941</v>
      </c>
      <c r="D7" s="6" t="s">
        <v>2073</v>
      </c>
      <c r="E7" s="5" t="n">
        <v>0</v>
      </c>
      <c r="F7" s="5" t="n">
        <v>112</v>
      </c>
      <c r="G7" s="5" t="n">
        <v>0</v>
      </c>
      <c r="H7" s="15" t="s">
        <v>49</v>
      </c>
      <c r="I7" s="6" t="s">
        <v>2063</v>
      </c>
    </row>
    <row r="8" customFormat="false" ht="15" hidden="false" customHeight="false" outlineLevel="0" collapsed="false">
      <c r="A8" s="5" t="s">
        <v>10</v>
      </c>
      <c r="B8" s="5" t="s">
        <v>2074</v>
      </c>
      <c r="C8" s="5" t="s">
        <v>1862</v>
      </c>
      <c r="D8" s="6" t="s">
        <v>2075</v>
      </c>
      <c r="E8" s="5" t="n">
        <v>0</v>
      </c>
      <c r="F8" s="5" t="n">
        <v>162</v>
      </c>
      <c r="G8" s="5" t="n">
        <v>0</v>
      </c>
      <c r="H8" s="15" t="s">
        <v>49</v>
      </c>
      <c r="I8" s="6" t="s">
        <v>2063</v>
      </c>
    </row>
    <row r="9" customFormat="false" ht="15" hidden="false" customHeight="false" outlineLevel="0" collapsed="false">
      <c r="A9" s="5" t="s">
        <v>10</v>
      </c>
      <c r="B9" s="5" t="s">
        <v>2076</v>
      </c>
      <c r="C9" s="5" t="s">
        <v>1862</v>
      </c>
      <c r="D9" s="6" t="s">
        <v>2077</v>
      </c>
      <c r="E9" s="5" t="n">
        <v>0</v>
      </c>
      <c r="F9" s="5" t="n">
        <v>159</v>
      </c>
      <c r="G9" s="5" t="n">
        <v>0</v>
      </c>
      <c r="H9" s="15" t="s">
        <v>49</v>
      </c>
      <c r="I9" s="6" t="s">
        <v>2063</v>
      </c>
    </row>
    <row r="10" customFormat="false" ht="15" hidden="false" customHeight="false" outlineLevel="0" collapsed="false">
      <c r="A10" s="5" t="s">
        <v>10</v>
      </c>
      <c r="B10" s="5" t="s">
        <v>2078</v>
      </c>
      <c r="C10" s="5" t="s">
        <v>1862</v>
      </c>
      <c r="D10" s="6" t="s">
        <v>2079</v>
      </c>
      <c r="E10" s="5" t="n">
        <v>0</v>
      </c>
      <c r="F10" s="5" t="n">
        <v>156</v>
      </c>
      <c r="G10" s="5" t="n">
        <v>0</v>
      </c>
      <c r="H10" s="15" t="s">
        <v>49</v>
      </c>
      <c r="I10" s="6" t="s">
        <v>2063</v>
      </c>
    </row>
    <row r="11" customFormat="false" ht="15" hidden="false" customHeight="false" outlineLevel="0" collapsed="false">
      <c r="A11" s="5" t="s">
        <v>10</v>
      </c>
      <c r="B11" s="5" t="s">
        <v>2080</v>
      </c>
      <c r="C11" s="5" t="s">
        <v>1862</v>
      </c>
      <c r="D11" s="6" t="s">
        <v>2081</v>
      </c>
      <c r="E11" s="5" t="n">
        <v>0</v>
      </c>
      <c r="F11" s="5" t="n">
        <v>154</v>
      </c>
      <c r="G11" s="5" t="n">
        <v>0</v>
      </c>
      <c r="H11" s="15" t="s">
        <v>49</v>
      </c>
      <c r="I11" s="6" t="s">
        <v>2063</v>
      </c>
    </row>
    <row r="12" customFormat="false" ht="15" hidden="false" customHeight="false" outlineLevel="0" collapsed="false">
      <c r="A12" s="5" t="s">
        <v>10</v>
      </c>
      <c r="B12" s="5" t="s">
        <v>2082</v>
      </c>
      <c r="C12" s="5" t="s">
        <v>1862</v>
      </c>
      <c r="D12" s="6" t="s">
        <v>2083</v>
      </c>
      <c r="E12" s="5" t="n">
        <v>0</v>
      </c>
      <c r="F12" s="5" t="n">
        <v>152</v>
      </c>
      <c r="G12" s="5" t="n">
        <v>0</v>
      </c>
      <c r="H12" s="15" t="s">
        <v>49</v>
      </c>
      <c r="I12" s="6" t="s">
        <v>2063</v>
      </c>
    </row>
    <row r="13" customFormat="false" ht="15" hidden="false" customHeight="false" outlineLevel="0" collapsed="false">
      <c r="A13" s="5" t="s">
        <v>10</v>
      </c>
      <c r="B13" s="5" t="s">
        <v>2084</v>
      </c>
      <c r="C13" s="5" t="s">
        <v>1862</v>
      </c>
      <c r="D13" s="6" t="s">
        <v>2085</v>
      </c>
      <c r="E13" s="5" t="n">
        <v>0</v>
      </c>
      <c r="F13" s="5" t="n">
        <v>150</v>
      </c>
      <c r="G13" s="5" t="n">
        <v>0</v>
      </c>
      <c r="H13" s="15" t="s">
        <v>49</v>
      </c>
      <c r="I13" s="6" t="s">
        <v>2063</v>
      </c>
    </row>
    <row r="14" customFormat="false" ht="23.85" hidden="false" customHeight="false" outlineLevel="0" collapsed="false">
      <c r="A14" s="5" t="s">
        <v>10</v>
      </c>
      <c r="B14" s="5" t="s">
        <v>2086</v>
      </c>
      <c r="C14" s="5" t="s">
        <v>1880</v>
      </c>
      <c r="D14" s="6" t="s">
        <v>2087</v>
      </c>
      <c r="E14" s="5" t="n">
        <v>0</v>
      </c>
      <c r="F14" s="5" t="n">
        <v>148</v>
      </c>
      <c r="G14" s="5" t="n">
        <v>0</v>
      </c>
      <c r="H14" s="15" t="s">
        <v>49</v>
      </c>
      <c r="I14" s="6" t="s">
        <v>2063</v>
      </c>
    </row>
    <row r="15" customFormat="false" ht="15" hidden="false" customHeight="false" outlineLevel="0" collapsed="false">
      <c r="A15" s="5" t="s">
        <v>10</v>
      </c>
      <c r="B15" s="5" t="s">
        <v>1984</v>
      </c>
      <c r="C15" s="5" t="s">
        <v>2015</v>
      </c>
      <c r="D15" s="6" t="s">
        <v>2088</v>
      </c>
      <c r="E15" s="5" t="n">
        <v>0</v>
      </c>
      <c r="F15" s="5" t="n">
        <v>78</v>
      </c>
      <c r="G15" s="5" t="n">
        <v>0</v>
      </c>
      <c r="H15" s="15" t="s">
        <v>49</v>
      </c>
      <c r="I15" s="6" t="s">
        <v>2089</v>
      </c>
    </row>
    <row r="16" customFormat="false" ht="15" hidden="false" customHeight="false" outlineLevel="0" collapsed="false">
      <c r="A16" s="5" t="s">
        <v>10</v>
      </c>
      <c r="B16" s="5" t="s">
        <v>1999</v>
      </c>
      <c r="C16" s="5" t="s">
        <v>2015</v>
      </c>
      <c r="D16" s="6" t="s">
        <v>2014</v>
      </c>
      <c r="E16" s="5" t="n">
        <v>0</v>
      </c>
      <c r="F16" s="5" t="n">
        <v>90</v>
      </c>
      <c r="G16" s="5" t="n">
        <v>0</v>
      </c>
      <c r="H16" s="15" t="s">
        <v>49</v>
      </c>
      <c r="I16" s="6" t="s">
        <v>2090</v>
      </c>
    </row>
    <row r="17" customFormat="false" ht="23.85" hidden="false" customHeight="false" outlineLevel="0" collapsed="false">
      <c r="A17" s="5" t="s">
        <v>10</v>
      </c>
      <c r="B17" s="5" t="s">
        <v>1380</v>
      </c>
      <c r="C17" s="5" t="s">
        <v>1985</v>
      </c>
      <c r="D17" s="6" t="s">
        <v>2091</v>
      </c>
      <c r="E17" s="5" t="n">
        <v>0</v>
      </c>
      <c r="F17" s="5" t="n">
        <v>1</v>
      </c>
      <c r="G17" s="5" t="n">
        <v>0</v>
      </c>
      <c r="H17" s="15" t="s">
        <v>49</v>
      </c>
      <c r="I17" s="6" t="s">
        <v>2092</v>
      </c>
    </row>
    <row r="18" customFormat="false" ht="15" hidden="false" customHeight="false" outlineLevel="0" collapsed="false">
      <c r="A18" s="5" t="s">
        <v>10</v>
      </c>
      <c r="B18" s="5" t="s">
        <v>1995</v>
      </c>
      <c r="C18" s="5" t="s">
        <v>1996</v>
      </c>
      <c r="D18" s="6" t="s">
        <v>2093</v>
      </c>
      <c r="E18" s="5" t="n">
        <v>0</v>
      </c>
      <c r="F18" s="5" t="n">
        <v>103</v>
      </c>
      <c r="G18" s="5" t="n">
        <v>0</v>
      </c>
      <c r="H18" s="15" t="s">
        <v>49</v>
      </c>
      <c r="I18" s="6" t="s">
        <v>2094</v>
      </c>
    </row>
    <row r="19" customFormat="false" ht="23.85" hidden="false" customHeight="false" outlineLevel="0" collapsed="false">
      <c r="A19" s="5" t="s">
        <v>10</v>
      </c>
      <c r="B19" s="5" t="s">
        <v>1988</v>
      </c>
      <c r="C19" s="5" t="s">
        <v>1985</v>
      </c>
      <c r="D19" s="6" t="s">
        <v>2095</v>
      </c>
      <c r="E19" s="5" t="n">
        <v>0</v>
      </c>
      <c r="F19" s="5" t="n">
        <v>9</v>
      </c>
      <c r="G19" s="5" t="n">
        <v>0</v>
      </c>
      <c r="H19" s="15" t="s">
        <v>49</v>
      </c>
      <c r="I19" s="6" t="s">
        <v>2096</v>
      </c>
    </row>
    <row r="20" customFormat="false" ht="15" hidden="false" customHeight="false" outlineLevel="0" collapsed="false">
      <c r="A20" s="5" t="s">
        <v>10</v>
      </c>
      <c r="B20" s="5" t="s">
        <v>2097</v>
      </c>
      <c r="C20" s="5" t="s">
        <v>2098</v>
      </c>
      <c r="D20" s="6" t="s">
        <v>2099</v>
      </c>
      <c r="E20" s="5" t="n">
        <v>1</v>
      </c>
      <c r="F20" s="5" t="n">
        <v>130</v>
      </c>
      <c r="G20" s="5" t="n">
        <v>0</v>
      </c>
      <c r="H20" s="15" t="s">
        <v>2100</v>
      </c>
      <c r="I20" s="6"/>
    </row>
    <row r="21" customFormat="false" ht="15" hidden="false" customHeight="false" outlineLevel="0" collapsed="false">
      <c r="A21" s="5" t="s">
        <v>10</v>
      </c>
      <c r="B21" s="5" t="s">
        <v>2101</v>
      </c>
      <c r="C21" s="5" t="s">
        <v>1941</v>
      </c>
      <c r="D21" s="6" t="s">
        <v>2073</v>
      </c>
      <c r="E21" s="5" t="n">
        <v>0</v>
      </c>
      <c r="F21" s="5" t="n">
        <v>112</v>
      </c>
      <c r="G21" s="5" t="n">
        <v>0</v>
      </c>
      <c r="H21" s="15" t="s">
        <v>49</v>
      </c>
      <c r="I21" s="6"/>
    </row>
    <row r="22" customFormat="false" ht="23.85" hidden="false" customHeight="false" outlineLevel="0" collapsed="false">
      <c r="A22" s="5" t="s">
        <v>10</v>
      </c>
      <c r="B22" s="5" t="s">
        <v>12</v>
      </c>
      <c r="C22" s="5" t="s">
        <v>14</v>
      </c>
      <c r="D22" s="6" t="s">
        <v>15</v>
      </c>
      <c r="E22" s="5" t="n">
        <v>0</v>
      </c>
      <c r="F22" s="5" t="n">
        <v>0</v>
      </c>
      <c r="G22" s="5" t="n">
        <v>0</v>
      </c>
      <c r="H22" s="16" t="s">
        <v>5</v>
      </c>
      <c r="I22" s="6"/>
    </row>
    <row r="23" customFormat="false" ht="23.85" hidden="false" customHeight="false" outlineLevel="0" collapsed="false">
      <c r="A23" s="5" t="s">
        <v>10</v>
      </c>
      <c r="B23" s="5" t="s">
        <v>2102</v>
      </c>
      <c r="C23" s="5" t="s">
        <v>1930</v>
      </c>
      <c r="D23" s="6" t="s">
        <v>2103</v>
      </c>
      <c r="E23" s="5" t="n">
        <v>0</v>
      </c>
      <c r="F23" s="5" t="n">
        <v>128</v>
      </c>
      <c r="G23" s="5" t="n">
        <v>0</v>
      </c>
      <c r="H23" s="15" t="s">
        <v>49</v>
      </c>
      <c r="I23" s="6"/>
    </row>
    <row r="24" customFormat="false" ht="15" hidden="false" customHeight="false" outlineLevel="0" collapsed="false">
      <c r="A24" s="5" t="s">
        <v>10</v>
      </c>
      <c r="B24" s="5" t="s">
        <v>1853</v>
      </c>
      <c r="C24" s="5" t="s">
        <v>1854</v>
      </c>
      <c r="D24" s="6" t="s">
        <v>2104</v>
      </c>
      <c r="E24" s="5" t="n">
        <v>0</v>
      </c>
      <c r="F24" s="5" t="n">
        <v>168</v>
      </c>
      <c r="G24" s="5" t="n">
        <v>0</v>
      </c>
      <c r="H24" s="15" t="s">
        <v>49</v>
      </c>
      <c r="I24" s="6"/>
    </row>
    <row r="25" customFormat="false" ht="15" hidden="false" customHeight="false" outlineLevel="0" collapsed="false">
      <c r="A25" s="5" t="s">
        <v>10</v>
      </c>
      <c r="B25" s="5" t="s">
        <v>1887</v>
      </c>
      <c r="C25" s="5" t="s">
        <v>1880</v>
      </c>
      <c r="D25" s="6" t="s">
        <v>2105</v>
      </c>
      <c r="E25" s="5" t="n">
        <v>0</v>
      </c>
      <c r="F25" s="5" t="n">
        <v>145</v>
      </c>
      <c r="G25" s="5" t="n">
        <v>0</v>
      </c>
      <c r="H25" s="15" t="s">
        <v>49</v>
      </c>
      <c r="I25" s="6"/>
    </row>
    <row r="26" customFormat="false" ht="15" hidden="false" customHeight="false" outlineLevel="0" collapsed="false">
      <c r="A26" s="5" t="s">
        <v>10</v>
      </c>
      <c r="B26" s="5" t="s">
        <v>1890</v>
      </c>
      <c r="C26" s="5" t="s">
        <v>1880</v>
      </c>
      <c r="D26" s="6" t="s">
        <v>2106</v>
      </c>
      <c r="E26" s="5" t="n">
        <v>0</v>
      </c>
      <c r="F26" s="5" t="n">
        <v>144</v>
      </c>
      <c r="G26" s="5" t="n">
        <v>0</v>
      </c>
      <c r="H26" s="15" t="s">
        <v>49</v>
      </c>
      <c r="I26" s="6"/>
    </row>
    <row r="27" customFormat="false" ht="15" hidden="false" customHeight="false" outlineLevel="0" collapsed="false">
      <c r="A27" s="5" t="s">
        <v>10</v>
      </c>
      <c r="B27" s="5" t="s">
        <v>1893</v>
      </c>
      <c r="C27" s="5" t="s">
        <v>1880</v>
      </c>
      <c r="D27" s="6" t="s">
        <v>2107</v>
      </c>
      <c r="E27" s="5" t="n">
        <v>0</v>
      </c>
      <c r="F27" s="5" t="n">
        <v>143</v>
      </c>
      <c r="G27" s="5" t="n">
        <v>0</v>
      </c>
      <c r="H27" s="15" t="s">
        <v>49</v>
      </c>
      <c r="I27" s="6"/>
    </row>
    <row r="28" customFormat="false" ht="15" hidden="false" customHeight="false" outlineLevel="0" collapsed="false">
      <c r="A28" s="5" t="s">
        <v>10</v>
      </c>
      <c r="B28" s="5" t="s">
        <v>1896</v>
      </c>
      <c r="C28" s="5" t="s">
        <v>1880</v>
      </c>
      <c r="D28" s="6" t="s">
        <v>2108</v>
      </c>
      <c r="E28" s="5" t="n">
        <v>0</v>
      </c>
      <c r="F28" s="5" t="n">
        <v>142</v>
      </c>
      <c r="G28" s="5" t="n">
        <v>0</v>
      </c>
      <c r="H28" s="15" t="s">
        <v>49</v>
      </c>
      <c r="I28" s="6"/>
    </row>
    <row r="29" customFormat="false" ht="15" hidden="false" customHeight="false" outlineLevel="0" collapsed="false">
      <c r="A29" s="5" t="s">
        <v>10</v>
      </c>
      <c r="B29" s="5" t="s">
        <v>1902</v>
      </c>
      <c r="C29" s="5" t="s">
        <v>1880</v>
      </c>
      <c r="D29" s="6" t="s">
        <v>2109</v>
      </c>
      <c r="E29" s="5" t="n">
        <v>0</v>
      </c>
      <c r="F29" s="5" t="n">
        <v>140</v>
      </c>
      <c r="G29" s="5" t="n">
        <v>0</v>
      </c>
      <c r="H29" s="15" t="s">
        <v>49</v>
      </c>
      <c r="I29" s="6"/>
    </row>
    <row r="30" customFormat="false" ht="15" hidden="false" customHeight="false" outlineLevel="0" collapsed="false">
      <c r="A30" s="5" t="s">
        <v>10</v>
      </c>
      <c r="B30" s="5" t="s">
        <v>1899</v>
      </c>
      <c r="C30" s="5" t="s">
        <v>1880</v>
      </c>
      <c r="D30" s="6" t="s">
        <v>2110</v>
      </c>
      <c r="E30" s="5" t="n">
        <v>0</v>
      </c>
      <c r="F30" s="5" t="n">
        <v>141</v>
      </c>
      <c r="G30" s="5" t="n">
        <v>0</v>
      </c>
      <c r="H30" s="15" t="s">
        <v>49</v>
      </c>
      <c r="I30" s="6"/>
    </row>
    <row r="31" customFormat="false" ht="15" hidden="false" customHeight="false" outlineLevel="0" collapsed="false">
      <c r="A31" s="5" t="s">
        <v>10</v>
      </c>
      <c r="B31" s="5" t="s">
        <v>1905</v>
      </c>
      <c r="C31" s="5" t="s">
        <v>1880</v>
      </c>
      <c r="D31" s="6" t="s">
        <v>2111</v>
      </c>
      <c r="E31" s="5" t="n">
        <v>0</v>
      </c>
      <c r="F31" s="5" t="n">
        <v>139</v>
      </c>
      <c r="G31" s="5" t="n">
        <v>0</v>
      </c>
      <c r="H31" s="15" t="s">
        <v>49</v>
      </c>
      <c r="I31" s="6"/>
    </row>
    <row r="32" customFormat="false" ht="15" hidden="false" customHeight="false" outlineLevel="0" collapsed="false">
      <c r="A32" s="5" t="s">
        <v>10</v>
      </c>
      <c r="B32" s="5" t="s">
        <v>1908</v>
      </c>
      <c r="C32" s="5" t="s">
        <v>1880</v>
      </c>
      <c r="D32" s="6" t="s">
        <v>2112</v>
      </c>
      <c r="E32" s="5" t="n">
        <v>0</v>
      </c>
      <c r="F32" s="5" t="n">
        <v>138</v>
      </c>
      <c r="G32" s="5" t="n">
        <v>0</v>
      </c>
      <c r="H32" s="15" t="s">
        <v>49</v>
      </c>
      <c r="I32" s="6"/>
    </row>
    <row r="33" customFormat="false" ht="23.85" hidden="false" customHeight="false" outlineLevel="0" collapsed="false">
      <c r="A33" s="5" t="s">
        <v>10</v>
      </c>
      <c r="B33" s="5" t="s">
        <v>1911</v>
      </c>
      <c r="C33" s="5" t="s">
        <v>1880</v>
      </c>
      <c r="D33" s="6" t="s">
        <v>2113</v>
      </c>
      <c r="E33" s="5" t="n">
        <v>0</v>
      </c>
      <c r="F33" s="5" t="n">
        <v>137</v>
      </c>
      <c r="G33" s="5" t="n">
        <v>0</v>
      </c>
      <c r="H33" s="15" t="s">
        <v>49</v>
      </c>
      <c r="I33" s="6"/>
    </row>
    <row r="34" customFormat="false" ht="15" hidden="false" customHeight="false" outlineLevel="0" collapsed="false">
      <c r="A34" s="5" t="s">
        <v>10</v>
      </c>
      <c r="B34" s="5" t="s">
        <v>1915</v>
      </c>
      <c r="C34" s="5" t="s">
        <v>1880</v>
      </c>
      <c r="D34" s="6" t="s">
        <v>2114</v>
      </c>
      <c r="E34" s="5" t="n">
        <v>0</v>
      </c>
      <c r="F34" s="5" t="n">
        <v>136</v>
      </c>
      <c r="G34" s="5" t="n">
        <v>0</v>
      </c>
      <c r="H34" s="15" t="s">
        <v>49</v>
      </c>
      <c r="I34" s="6"/>
    </row>
    <row r="35" customFormat="false" ht="23.85" hidden="false" customHeight="false" outlineLevel="0" collapsed="false">
      <c r="A35" s="5" t="s">
        <v>10</v>
      </c>
      <c r="B35" s="5" t="s">
        <v>1858</v>
      </c>
      <c r="C35" s="5" t="s">
        <v>1854</v>
      </c>
      <c r="D35" s="6" t="s">
        <v>2069</v>
      </c>
      <c r="E35" s="5" t="n">
        <v>0</v>
      </c>
      <c r="F35" s="5" t="n">
        <v>167</v>
      </c>
      <c r="G35" s="5" t="n">
        <v>0</v>
      </c>
      <c r="H35" s="15" t="s">
        <v>49</v>
      </c>
      <c r="I35" s="6"/>
    </row>
    <row r="36" customFormat="false" ht="23.85" hidden="false" customHeight="false" outlineLevel="0" collapsed="false">
      <c r="A36" s="5" t="s">
        <v>10</v>
      </c>
      <c r="B36" s="5" t="s">
        <v>1919</v>
      </c>
      <c r="C36" s="5" t="s">
        <v>1880</v>
      </c>
      <c r="D36" s="6" t="s">
        <v>2115</v>
      </c>
      <c r="E36" s="5" t="n">
        <v>0</v>
      </c>
      <c r="F36" s="5" t="n">
        <v>135</v>
      </c>
      <c r="G36" s="5" t="n">
        <v>0</v>
      </c>
      <c r="H36" s="15" t="s">
        <v>49</v>
      </c>
      <c r="I36" s="6"/>
    </row>
    <row r="37" customFormat="false" ht="23.85" hidden="false" customHeight="false" outlineLevel="0" collapsed="false">
      <c r="A37" s="5" t="s">
        <v>10</v>
      </c>
      <c r="B37" s="5" t="s">
        <v>1922</v>
      </c>
      <c r="C37" s="5" t="s">
        <v>1923</v>
      </c>
      <c r="D37" s="6" t="s">
        <v>2116</v>
      </c>
      <c r="E37" s="5" t="n">
        <v>0</v>
      </c>
      <c r="F37" s="5" t="n">
        <v>134</v>
      </c>
      <c r="G37" s="5" t="n">
        <v>0</v>
      </c>
      <c r="H37" s="15" t="s">
        <v>49</v>
      </c>
      <c r="I37" s="6"/>
    </row>
    <row r="38" customFormat="false" ht="23.85" hidden="false" customHeight="false" outlineLevel="0" collapsed="false">
      <c r="A38" s="5" t="s">
        <v>10</v>
      </c>
      <c r="B38" s="5" t="s">
        <v>1926</v>
      </c>
      <c r="C38" s="5" t="s">
        <v>1923</v>
      </c>
      <c r="D38" s="6" t="s">
        <v>2117</v>
      </c>
      <c r="E38" s="5" t="n">
        <v>0</v>
      </c>
      <c r="F38" s="5" t="n">
        <v>133</v>
      </c>
      <c r="G38" s="5" t="n">
        <v>0</v>
      </c>
      <c r="H38" s="15" t="s">
        <v>49</v>
      </c>
      <c r="I38" s="6"/>
    </row>
    <row r="39" customFormat="false" ht="23.85" hidden="false" customHeight="false" outlineLevel="0" collapsed="false">
      <c r="A39" s="5" t="s">
        <v>10</v>
      </c>
      <c r="B39" s="5" t="s">
        <v>1929</v>
      </c>
      <c r="C39" s="5" t="s">
        <v>1930</v>
      </c>
      <c r="D39" s="6" t="s">
        <v>2118</v>
      </c>
      <c r="E39" s="5" t="n">
        <v>0</v>
      </c>
      <c r="F39" s="5" t="n">
        <v>132</v>
      </c>
      <c r="G39" s="5" t="n">
        <v>0</v>
      </c>
      <c r="H39" s="15" t="s">
        <v>49</v>
      </c>
      <c r="I39" s="6"/>
    </row>
    <row r="40" customFormat="false" ht="15" hidden="false" customHeight="false" outlineLevel="0" collapsed="false">
      <c r="A40" s="5" t="s">
        <v>10</v>
      </c>
      <c r="B40" s="5" t="s">
        <v>1933</v>
      </c>
      <c r="C40" s="5" t="s">
        <v>1930</v>
      </c>
      <c r="D40" s="6" t="s">
        <v>2065</v>
      </c>
      <c r="E40" s="5" t="n">
        <v>0</v>
      </c>
      <c r="F40" s="5" t="n">
        <v>131</v>
      </c>
      <c r="G40" s="5" t="n">
        <v>0</v>
      </c>
      <c r="H40" s="15" t="s">
        <v>49</v>
      </c>
      <c r="I40" s="6"/>
    </row>
    <row r="41" customFormat="false" ht="23.85" hidden="false" customHeight="false" outlineLevel="0" collapsed="false">
      <c r="A41" s="5" t="s">
        <v>10</v>
      </c>
      <c r="B41" s="5" t="s">
        <v>1936</v>
      </c>
      <c r="C41" s="5" t="s">
        <v>1930</v>
      </c>
      <c r="D41" s="6" t="s">
        <v>2119</v>
      </c>
      <c r="E41" s="5" t="n">
        <v>0</v>
      </c>
      <c r="F41" s="5" t="n">
        <v>130</v>
      </c>
      <c r="G41" s="5" t="n">
        <v>0</v>
      </c>
      <c r="H41" s="15" t="s">
        <v>49</v>
      </c>
      <c r="I41" s="6"/>
    </row>
    <row r="42" customFormat="false" ht="15" hidden="false" customHeight="false" outlineLevel="0" collapsed="false">
      <c r="A42" s="5" t="s">
        <v>10</v>
      </c>
      <c r="B42" s="5" t="s">
        <v>1940</v>
      </c>
      <c r="C42" s="5" t="s">
        <v>1930</v>
      </c>
      <c r="D42" s="6" t="s">
        <v>2120</v>
      </c>
      <c r="E42" s="5" t="n">
        <v>0</v>
      </c>
      <c r="F42" s="5" t="n">
        <v>129</v>
      </c>
      <c r="G42" s="5" t="n">
        <v>0</v>
      </c>
      <c r="H42" s="15" t="s">
        <v>49</v>
      </c>
      <c r="I42" s="6"/>
    </row>
    <row r="43" customFormat="false" ht="23.85" hidden="false" customHeight="false" outlineLevel="0" collapsed="false">
      <c r="A43" s="5" t="s">
        <v>10</v>
      </c>
      <c r="B43" s="5" t="s">
        <v>1944</v>
      </c>
      <c r="C43" s="5" t="s">
        <v>2098</v>
      </c>
      <c r="D43" s="6" t="s">
        <v>2121</v>
      </c>
      <c r="E43" s="5" t="n">
        <v>0</v>
      </c>
      <c r="F43" s="5" t="n">
        <v>127</v>
      </c>
      <c r="G43" s="5" t="n">
        <v>0</v>
      </c>
      <c r="H43" s="15" t="s">
        <v>49</v>
      </c>
      <c r="I43" s="6"/>
    </row>
    <row r="44" customFormat="false" ht="23.85" hidden="false" customHeight="false" outlineLevel="0" collapsed="false">
      <c r="A44" s="5" t="s">
        <v>10</v>
      </c>
      <c r="B44" s="5" t="s">
        <v>2122</v>
      </c>
      <c r="C44" s="5" t="s">
        <v>2098</v>
      </c>
      <c r="D44" s="6" t="s">
        <v>2123</v>
      </c>
      <c r="E44" s="5" t="n">
        <v>1</v>
      </c>
      <c r="F44" s="5" t="n">
        <v>128</v>
      </c>
      <c r="G44" s="5" t="n">
        <v>1</v>
      </c>
      <c r="H44" s="17" t="s">
        <v>51</v>
      </c>
      <c r="I44" s="6" t="s">
        <v>2124</v>
      </c>
    </row>
    <row r="45" customFormat="false" ht="23.85" hidden="false" customHeight="false" outlineLevel="0" collapsed="false">
      <c r="A45" s="5" t="s">
        <v>10</v>
      </c>
      <c r="B45" s="5" t="s">
        <v>1947</v>
      </c>
      <c r="C45" s="5" t="s">
        <v>2098</v>
      </c>
      <c r="D45" s="6" t="s">
        <v>2125</v>
      </c>
      <c r="E45" s="5" t="n">
        <v>0</v>
      </c>
      <c r="F45" s="5" t="n">
        <v>126</v>
      </c>
      <c r="G45" s="5" t="n">
        <v>0</v>
      </c>
      <c r="H45" s="15" t="s">
        <v>49</v>
      </c>
      <c r="I45" s="6"/>
    </row>
    <row r="46" customFormat="false" ht="15" hidden="false" customHeight="false" outlineLevel="0" collapsed="false">
      <c r="A46" s="5" t="s">
        <v>10</v>
      </c>
      <c r="B46" s="5" t="s">
        <v>1950</v>
      </c>
      <c r="C46" s="5" t="s">
        <v>2098</v>
      </c>
      <c r="D46" s="6" t="s">
        <v>2126</v>
      </c>
      <c r="E46" s="5" t="n">
        <v>0</v>
      </c>
      <c r="F46" s="5" t="n">
        <v>119</v>
      </c>
      <c r="G46" s="5" t="n">
        <v>0</v>
      </c>
      <c r="H46" s="15" t="s">
        <v>49</v>
      </c>
      <c r="I46" s="6"/>
    </row>
    <row r="47" customFormat="false" ht="23.85" hidden="false" customHeight="false" outlineLevel="0" collapsed="false">
      <c r="A47" s="5" t="s">
        <v>10</v>
      </c>
      <c r="B47" s="5" t="s">
        <v>1953</v>
      </c>
      <c r="C47" s="5" t="s">
        <v>2098</v>
      </c>
      <c r="D47" s="6" t="s">
        <v>2127</v>
      </c>
      <c r="E47" s="5" t="n">
        <v>0</v>
      </c>
      <c r="F47" s="5" t="n">
        <v>125</v>
      </c>
      <c r="G47" s="5" t="n">
        <v>0</v>
      </c>
      <c r="H47" s="15" t="s">
        <v>49</v>
      </c>
      <c r="I47" s="6"/>
    </row>
    <row r="48" customFormat="false" ht="15" hidden="false" customHeight="false" outlineLevel="0" collapsed="false">
      <c r="A48" s="5" t="s">
        <v>10</v>
      </c>
      <c r="B48" s="5" t="s">
        <v>1861</v>
      </c>
      <c r="C48" s="5" t="s">
        <v>1862</v>
      </c>
      <c r="D48" s="6" t="s">
        <v>2075</v>
      </c>
      <c r="E48" s="5" t="n">
        <v>0</v>
      </c>
      <c r="F48" s="5" t="n">
        <v>162</v>
      </c>
      <c r="G48" s="5" t="n">
        <v>0</v>
      </c>
      <c r="H48" s="15" t="s">
        <v>49</v>
      </c>
      <c r="I48" s="6"/>
    </row>
    <row r="49" customFormat="false" ht="15" hidden="false" customHeight="false" outlineLevel="0" collapsed="false">
      <c r="A49" s="5" t="s">
        <v>10</v>
      </c>
      <c r="B49" s="5" t="s">
        <v>1956</v>
      </c>
      <c r="C49" s="5" t="s">
        <v>2098</v>
      </c>
      <c r="D49" s="6" t="s">
        <v>2128</v>
      </c>
      <c r="E49" s="5" t="n">
        <v>0</v>
      </c>
      <c r="F49" s="5" t="n">
        <v>124</v>
      </c>
      <c r="G49" s="5" t="n">
        <v>0</v>
      </c>
      <c r="H49" s="15" t="s">
        <v>49</v>
      </c>
      <c r="I49" s="6"/>
    </row>
    <row r="50" customFormat="false" ht="23.85" hidden="false" customHeight="false" outlineLevel="0" collapsed="false">
      <c r="A50" s="5" t="s">
        <v>10</v>
      </c>
      <c r="B50" s="5" t="s">
        <v>1959</v>
      </c>
      <c r="C50" s="5" t="s">
        <v>2098</v>
      </c>
      <c r="D50" s="6" t="s">
        <v>2129</v>
      </c>
      <c r="E50" s="5" t="n">
        <v>0</v>
      </c>
      <c r="F50" s="5" t="n">
        <v>123</v>
      </c>
      <c r="G50" s="5" t="n">
        <v>0</v>
      </c>
      <c r="H50" s="15" t="s">
        <v>49</v>
      </c>
      <c r="I50" s="6"/>
    </row>
    <row r="51" customFormat="false" ht="23.85" hidden="false" customHeight="false" outlineLevel="0" collapsed="false">
      <c r="A51" s="5" t="s">
        <v>10</v>
      </c>
      <c r="B51" s="5" t="s">
        <v>1962</v>
      </c>
      <c r="C51" s="5" t="s">
        <v>2098</v>
      </c>
      <c r="D51" s="6" t="s">
        <v>2130</v>
      </c>
      <c r="E51" s="5" t="n">
        <v>0</v>
      </c>
      <c r="F51" s="5" t="n">
        <v>121</v>
      </c>
      <c r="G51" s="5" t="n">
        <v>0</v>
      </c>
      <c r="H51" s="15" t="s">
        <v>49</v>
      </c>
      <c r="I51" s="6"/>
    </row>
    <row r="52" customFormat="false" ht="23.85" hidden="false" customHeight="false" outlineLevel="0" collapsed="false">
      <c r="A52" s="5" t="s">
        <v>10</v>
      </c>
      <c r="B52" s="5" t="s">
        <v>1965</v>
      </c>
      <c r="C52" s="5" t="s">
        <v>1941</v>
      </c>
      <c r="D52" s="6" t="s">
        <v>2131</v>
      </c>
      <c r="E52" s="5" t="n">
        <v>1</v>
      </c>
      <c r="F52" s="5" t="n">
        <v>120</v>
      </c>
      <c r="G52" s="5" t="n">
        <v>1</v>
      </c>
      <c r="H52" s="17" t="s">
        <v>51</v>
      </c>
      <c r="I52" s="6" t="s">
        <v>2132</v>
      </c>
    </row>
    <row r="53" customFormat="false" ht="15" hidden="false" customHeight="false" outlineLevel="0" collapsed="false">
      <c r="A53" s="5" t="s">
        <v>10</v>
      </c>
      <c r="B53" s="5" t="s">
        <v>1969</v>
      </c>
      <c r="C53" s="5" t="s">
        <v>2098</v>
      </c>
      <c r="D53" s="6" t="s">
        <v>2133</v>
      </c>
      <c r="E53" s="5" t="n">
        <v>0</v>
      </c>
      <c r="F53" s="5" t="n">
        <v>118</v>
      </c>
      <c r="G53" s="5" t="n">
        <v>0</v>
      </c>
      <c r="H53" s="15" t="s">
        <v>49</v>
      </c>
      <c r="I53" s="6"/>
    </row>
    <row r="54" customFormat="false" ht="15" hidden="false" customHeight="false" outlineLevel="0" collapsed="false">
      <c r="A54" s="5" t="s">
        <v>10</v>
      </c>
      <c r="B54" s="5" t="s">
        <v>1972</v>
      </c>
      <c r="C54" s="5" t="s">
        <v>1941</v>
      </c>
      <c r="D54" s="6" t="s">
        <v>2134</v>
      </c>
      <c r="E54" s="5" t="n">
        <v>0</v>
      </c>
      <c r="F54" s="5" t="n">
        <v>115</v>
      </c>
      <c r="G54" s="5" t="n">
        <v>0</v>
      </c>
      <c r="H54" s="15" t="s">
        <v>49</v>
      </c>
      <c r="I54" s="6"/>
    </row>
    <row r="55" customFormat="false" ht="23.85" hidden="false" customHeight="false" outlineLevel="0" collapsed="false">
      <c r="A55" s="5" t="s">
        <v>10</v>
      </c>
      <c r="B55" s="5" t="s">
        <v>1975</v>
      </c>
      <c r="C55" s="5" t="s">
        <v>1941</v>
      </c>
      <c r="D55" s="6" t="s">
        <v>2135</v>
      </c>
      <c r="E55" s="5" t="n">
        <v>0</v>
      </c>
      <c r="F55" s="5" t="n">
        <v>112</v>
      </c>
      <c r="G55" s="5" t="n">
        <v>0</v>
      </c>
      <c r="H55" s="15" t="s">
        <v>49</v>
      </c>
      <c r="I55" s="6"/>
    </row>
    <row r="56" customFormat="false" ht="15" hidden="false" customHeight="false" outlineLevel="0" collapsed="false">
      <c r="A56" s="5" t="s">
        <v>10</v>
      </c>
      <c r="B56" s="5" t="s">
        <v>1978</v>
      </c>
      <c r="C56" s="5" t="s">
        <v>1941</v>
      </c>
      <c r="D56" s="6" t="s">
        <v>2136</v>
      </c>
      <c r="E56" s="5" t="n">
        <v>0</v>
      </c>
      <c r="F56" s="5" t="n">
        <v>111</v>
      </c>
      <c r="G56" s="5" t="n">
        <v>0</v>
      </c>
      <c r="H56" s="15" t="s">
        <v>49</v>
      </c>
      <c r="I56" s="6"/>
    </row>
    <row r="57" customFormat="false" ht="23.85" hidden="false" customHeight="false" outlineLevel="0" collapsed="false">
      <c r="A57" s="5" t="s">
        <v>10</v>
      </c>
      <c r="B57" s="5" t="s">
        <v>1981</v>
      </c>
      <c r="C57" s="5" t="s">
        <v>1941</v>
      </c>
      <c r="D57" s="6" t="s">
        <v>2137</v>
      </c>
      <c r="E57" s="5" t="n">
        <v>0</v>
      </c>
      <c r="F57" s="5" t="n">
        <v>106</v>
      </c>
      <c r="G57" s="5" t="n">
        <v>0</v>
      </c>
      <c r="H57" s="15" t="s">
        <v>49</v>
      </c>
      <c r="I57" s="6"/>
    </row>
    <row r="58" customFormat="false" ht="23.85" hidden="false" customHeight="false" outlineLevel="0" collapsed="false">
      <c r="A58" s="5" t="s">
        <v>10</v>
      </c>
      <c r="B58" s="5" t="s">
        <v>2138</v>
      </c>
      <c r="C58" s="5" t="s">
        <v>1941</v>
      </c>
      <c r="D58" s="6" t="s">
        <v>2139</v>
      </c>
      <c r="E58" s="5" t="n">
        <v>0</v>
      </c>
      <c r="F58" s="5" t="n">
        <v>105</v>
      </c>
      <c r="G58" s="5" t="n">
        <v>0</v>
      </c>
      <c r="H58" s="15" t="s">
        <v>49</v>
      </c>
      <c r="I58" s="6"/>
    </row>
    <row r="59" customFormat="false" ht="15" hidden="false" customHeight="false" outlineLevel="0" collapsed="false">
      <c r="A59" s="5" t="s">
        <v>10</v>
      </c>
      <c r="B59" s="5" t="s">
        <v>1866</v>
      </c>
      <c r="C59" s="5" t="s">
        <v>1862</v>
      </c>
      <c r="D59" s="6" t="s">
        <v>2077</v>
      </c>
      <c r="E59" s="5" t="n">
        <v>0</v>
      </c>
      <c r="F59" s="5" t="n">
        <v>159</v>
      </c>
      <c r="G59" s="5" t="n">
        <v>0</v>
      </c>
      <c r="H59" s="15" t="s">
        <v>49</v>
      </c>
      <c r="I59" s="6"/>
    </row>
    <row r="60" customFormat="false" ht="15" hidden="false" customHeight="false" outlineLevel="0" collapsed="false">
      <c r="A60" s="5" t="s">
        <v>10</v>
      </c>
      <c r="B60" s="5" t="s">
        <v>1869</v>
      </c>
      <c r="C60" s="5" t="s">
        <v>1862</v>
      </c>
      <c r="D60" s="6" t="s">
        <v>2081</v>
      </c>
      <c r="E60" s="5" t="n">
        <v>0</v>
      </c>
      <c r="F60" s="5" t="n">
        <v>154</v>
      </c>
      <c r="G60" s="5" t="n">
        <v>0</v>
      </c>
      <c r="H60" s="15" t="s">
        <v>49</v>
      </c>
      <c r="I60" s="6"/>
    </row>
    <row r="61" customFormat="false" ht="15" hidden="false" customHeight="false" outlineLevel="0" collapsed="false">
      <c r="A61" s="5" t="s">
        <v>10</v>
      </c>
      <c r="B61" s="5" t="s">
        <v>1872</v>
      </c>
      <c r="C61" s="5" t="s">
        <v>1862</v>
      </c>
      <c r="D61" s="6" t="s">
        <v>2083</v>
      </c>
      <c r="E61" s="5" t="n">
        <v>0</v>
      </c>
      <c r="F61" s="5" t="n">
        <v>152</v>
      </c>
      <c r="G61" s="5" t="n">
        <v>0</v>
      </c>
      <c r="H61" s="15" t="s">
        <v>49</v>
      </c>
      <c r="I61" s="6"/>
    </row>
    <row r="62" customFormat="false" ht="15" hidden="false" customHeight="false" outlineLevel="0" collapsed="false">
      <c r="A62" s="5" t="s">
        <v>10</v>
      </c>
      <c r="B62" s="5" t="s">
        <v>1875</v>
      </c>
      <c r="C62" s="5" t="s">
        <v>1862</v>
      </c>
      <c r="D62" s="6" t="s">
        <v>2085</v>
      </c>
      <c r="E62" s="5" t="n">
        <v>0</v>
      </c>
      <c r="F62" s="5" t="n">
        <v>150</v>
      </c>
      <c r="G62" s="5" t="n">
        <v>0</v>
      </c>
      <c r="H62" s="15" t="s">
        <v>49</v>
      </c>
      <c r="I62" s="6"/>
    </row>
    <row r="63" customFormat="false" ht="23.85" hidden="false" customHeight="false" outlineLevel="0" collapsed="false">
      <c r="A63" s="5" t="s">
        <v>10</v>
      </c>
      <c r="B63" s="5" t="s">
        <v>1879</v>
      </c>
      <c r="C63" s="5" t="s">
        <v>1880</v>
      </c>
      <c r="D63" s="6" t="s">
        <v>2087</v>
      </c>
      <c r="E63" s="5" t="n">
        <v>0</v>
      </c>
      <c r="F63" s="5" t="n">
        <v>148</v>
      </c>
      <c r="G63" s="5" t="n">
        <v>0</v>
      </c>
      <c r="H63" s="15" t="s">
        <v>49</v>
      </c>
      <c r="I63" s="6"/>
    </row>
    <row r="64" customFormat="false" ht="23.85" hidden="false" customHeight="false" outlineLevel="0" collapsed="false">
      <c r="A64" s="5" t="s">
        <v>10</v>
      </c>
      <c r="B64" s="5" t="s">
        <v>2140</v>
      </c>
      <c r="C64" s="5" t="s">
        <v>1880</v>
      </c>
      <c r="D64" s="6" t="s">
        <v>2141</v>
      </c>
      <c r="E64" s="5" t="n">
        <v>0</v>
      </c>
      <c r="F64" s="5" t="n">
        <v>147</v>
      </c>
      <c r="G64" s="5" t="n">
        <v>0</v>
      </c>
      <c r="H64" s="15" t="s">
        <v>49</v>
      </c>
      <c r="I64" s="6"/>
    </row>
    <row r="65" customFormat="false" ht="23.85" hidden="false" customHeight="false" outlineLevel="0" collapsed="false">
      <c r="A65" s="5" t="s">
        <v>10</v>
      </c>
      <c r="B65" s="5" t="s">
        <v>1884</v>
      </c>
      <c r="C65" s="5" t="s">
        <v>1880</v>
      </c>
      <c r="D65" s="6" t="s">
        <v>2062</v>
      </c>
      <c r="E65" s="5" t="n">
        <v>0</v>
      </c>
      <c r="F65" s="5" t="n">
        <v>146</v>
      </c>
      <c r="G65" s="5" t="n">
        <v>0</v>
      </c>
      <c r="H65" s="15" t="s">
        <v>49</v>
      </c>
      <c r="I65" s="6"/>
    </row>
    <row r="66" customFormat="false" ht="15" hidden="false" customHeight="false" outlineLevel="0" collapsed="false">
      <c r="A66" s="5" t="s">
        <v>17</v>
      </c>
      <c r="B66" s="5" t="s">
        <v>1566</v>
      </c>
      <c r="C66" s="5" t="s">
        <v>1985</v>
      </c>
      <c r="D66" s="6" t="s">
        <v>2142</v>
      </c>
      <c r="E66" s="5" t="n">
        <v>0</v>
      </c>
      <c r="F66" s="5" t="n">
        <v>9</v>
      </c>
      <c r="G66" s="5" t="n">
        <v>0</v>
      </c>
      <c r="H66" s="15" t="s">
        <v>49</v>
      </c>
      <c r="I66" s="6" t="s">
        <v>2143</v>
      </c>
    </row>
    <row r="67" customFormat="false" ht="15" hidden="false" customHeight="false" outlineLevel="0" collapsed="false">
      <c r="A67" s="5" t="s">
        <v>17</v>
      </c>
      <c r="B67" s="5" t="s">
        <v>1380</v>
      </c>
      <c r="C67" s="5" t="s">
        <v>14</v>
      </c>
      <c r="D67" s="6" t="s">
        <v>2026</v>
      </c>
      <c r="E67" s="5" t="n">
        <v>1</v>
      </c>
      <c r="F67" s="5" t="n">
        <v>0</v>
      </c>
      <c r="G67" s="5" t="n">
        <v>1</v>
      </c>
      <c r="H67" s="17" t="s">
        <v>51</v>
      </c>
      <c r="I67" s="6" t="s">
        <v>2144</v>
      </c>
    </row>
    <row r="68" customFormat="false" ht="23.85" hidden="false" customHeight="false" outlineLevel="0" collapsed="false">
      <c r="A68" s="5" t="s">
        <v>17</v>
      </c>
      <c r="B68" s="5" t="s">
        <v>1593</v>
      </c>
      <c r="C68" s="5" t="s">
        <v>1985</v>
      </c>
      <c r="D68" s="6" t="s">
        <v>2025</v>
      </c>
      <c r="E68" s="5" t="n">
        <v>0</v>
      </c>
      <c r="F68" s="5" t="n">
        <v>4</v>
      </c>
      <c r="G68" s="5" t="n">
        <v>0</v>
      </c>
      <c r="H68" s="15" t="s">
        <v>49</v>
      </c>
      <c r="I68" s="6" t="s">
        <v>2145</v>
      </c>
    </row>
    <row r="69" customFormat="false" ht="23.85" hidden="false" customHeight="false" outlineLevel="0" collapsed="false">
      <c r="A69" s="5" t="s">
        <v>17</v>
      </c>
      <c r="B69" s="5" t="s">
        <v>19</v>
      </c>
      <c r="C69" s="5" t="s">
        <v>14</v>
      </c>
      <c r="D69" s="6" t="s">
        <v>21</v>
      </c>
      <c r="E69" s="5" t="n">
        <v>0</v>
      </c>
      <c r="F69" s="5" t="n">
        <v>0</v>
      </c>
      <c r="G69" s="5" t="n">
        <v>0</v>
      </c>
      <c r="H69" s="16" t="s">
        <v>5</v>
      </c>
      <c r="I69" s="6"/>
    </row>
    <row r="70" customFormat="false" ht="23.85" hidden="false" customHeight="false" outlineLevel="0" collapsed="false">
      <c r="A70" s="5" t="s">
        <v>17</v>
      </c>
      <c r="B70" s="5" t="s">
        <v>2033</v>
      </c>
      <c r="C70" s="5" t="s">
        <v>2146</v>
      </c>
      <c r="D70" s="6" t="s">
        <v>2147</v>
      </c>
      <c r="E70" s="5" t="n">
        <v>0</v>
      </c>
      <c r="F70" s="5" t="n">
        <v>23</v>
      </c>
      <c r="G70" s="5" t="n">
        <v>0</v>
      </c>
      <c r="H70" s="15" t="s">
        <v>49</v>
      </c>
      <c r="I70" s="6" t="s">
        <v>2148</v>
      </c>
    </row>
    <row r="71" customFormat="false" ht="15" hidden="false" customHeight="false" outlineLevel="0" collapsed="false">
      <c r="A71" s="5" t="s">
        <v>23</v>
      </c>
      <c r="B71" s="5" t="s">
        <v>1566</v>
      </c>
      <c r="C71" s="5" t="s">
        <v>1985</v>
      </c>
      <c r="D71" s="6" t="s">
        <v>2149</v>
      </c>
      <c r="E71" s="5" t="n">
        <v>0</v>
      </c>
      <c r="F71" s="5" t="n">
        <v>12</v>
      </c>
      <c r="G71" s="5" t="n">
        <v>0</v>
      </c>
      <c r="H71" s="15" t="s">
        <v>49</v>
      </c>
      <c r="I71" s="6" t="s">
        <v>2094</v>
      </c>
    </row>
    <row r="72" customFormat="false" ht="15" hidden="false" customHeight="false" outlineLevel="0" collapsed="false">
      <c r="A72" s="5" t="s">
        <v>23</v>
      </c>
      <c r="B72" s="5" t="s">
        <v>1380</v>
      </c>
      <c r="C72" s="5" t="s">
        <v>14</v>
      </c>
      <c r="D72" s="6" t="s">
        <v>2049</v>
      </c>
      <c r="E72" s="5" t="n">
        <v>1</v>
      </c>
      <c r="F72" s="5" t="n">
        <v>0</v>
      </c>
      <c r="G72" s="5" t="n">
        <v>1</v>
      </c>
      <c r="H72" s="17" t="s">
        <v>51</v>
      </c>
      <c r="I72" s="6" t="s">
        <v>2150</v>
      </c>
    </row>
    <row r="73" customFormat="false" ht="15" hidden="false" customHeight="false" outlineLevel="0" collapsed="false">
      <c r="A73" s="5" t="s">
        <v>23</v>
      </c>
      <c r="B73" s="5" t="s">
        <v>2151</v>
      </c>
      <c r="C73" s="5" t="s">
        <v>1941</v>
      </c>
      <c r="D73" s="6" t="s">
        <v>2152</v>
      </c>
      <c r="E73" s="5" t="n">
        <v>0</v>
      </c>
      <c r="F73" s="5" t="n">
        <v>19</v>
      </c>
      <c r="G73" s="5" t="n">
        <v>0</v>
      </c>
      <c r="H73" s="15" t="s">
        <v>49</v>
      </c>
      <c r="I73" s="6"/>
    </row>
    <row r="74" customFormat="false" ht="23.85" hidden="false" customHeight="false" outlineLevel="0" collapsed="false">
      <c r="A74" s="5" t="s">
        <v>23</v>
      </c>
      <c r="B74" s="5" t="s">
        <v>19</v>
      </c>
      <c r="C74" s="5" t="s">
        <v>14</v>
      </c>
      <c r="D74" s="6" t="s">
        <v>26</v>
      </c>
      <c r="E74" s="5" t="n">
        <v>0</v>
      </c>
      <c r="F74" s="5" t="n">
        <v>0</v>
      </c>
      <c r="G74" s="5" t="n">
        <v>0</v>
      </c>
      <c r="H74" s="16" t="s">
        <v>5</v>
      </c>
      <c r="I74" s="6"/>
    </row>
    <row r="75" customFormat="false" ht="15" hidden="false" customHeight="false" outlineLevel="0" collapsed="false">
      <c r="A75" s="5" t="s">
        <v>23</v>
      </c>
      <c r="B75" s="5" t="s">
        <v>2033</v>
      </c>
      <c r="C75" s="5" t="s">
        <v>1941</v>
      </c>
      <c r="D75" s="6" t="s">
        <v>2152</v>
      </c>
      <c r="E75" s="5" t="n">
        <v>0</v>
      </c>
      <c r="F75" s="5" t="n">
        <v>19</v>
      </c>
      <c r="G75" s="5" t="n">
        <v>0</v>
      </c>
      <c r="H75" s="15" t="s">
        <v>49</v>
      </c>
      <c r="I75" s="6"/>
    </row>
  </sheetData>
  <autoFilter ref="A1:I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60"/>
    <col collapsed="false" customWidth="true" hidden="false" outlineLevel="0" max="4" min="4" style="0" width="40"/>
  </cols>
  <sheetData>
    <row r="1" customFormat="false" ht="30" hidden="false" customHeight="true" outlineLevel="0" collapsed="false">
      <c r="A1" s="4" t="s">
        <v>2153</v>
      </c>
      <c r="B1" s="4" t="s">
        <v>2154</v>
      </c>
      <c r="C1" s="4" t="s">
        <v>2155</v>
      </c>
      <c r="D1" s="4" t="s">
        <v>2156</v>
      </c>
    </row>
    <row r="2" customFormat="false" ht="23.85" hidden="false" customHeight="false" outlineLevel="0" collapsed="false">
      <c r="A2" s="5" t="s">
        <v>2157</v>
      </c>
      <c r="B2" s="6" t="s">
        <v>2158</v>
      </c>
      <c r="C2" s="6" t="s">
        <v>2159</v>
      </c>
      <c r="D2" s="6" t="s">
        <v>2160</v>
      </c>
    </row>
    <row r="3" customFormat="false" ht="23.85" hidden="false" customHeight="false" outlineLevel="0" collapsed="false">
      <c r="A3" s="5" t="s">
        <v>2161</v>
      </c>
      <c r="B3" s="6" t="s">
        <v>2158</v>
      </c>
      <c r="C3" s="6" t="s">
        <v>2162</v>
      </c>
      <c r="D3" s="6" t="s">
        <v>2160</v>
      </c>
    </row>
    <row r="4" customFormat="false" ht="23.85" hidden="false" customHeight="false" outlineLevel="0" collapsed="false">
      <c r="A4" s="5" t="s">
        <v>2163</v>
      </c>
      <c r="B4" s="6" t="s">
        <v>2164</v>
      </c>
      <c r="C4" s="6" t="s">
        <v>2165</v>
      </c>
      <c r="D4" s="6" t="s">
        <v>2160</v>
      </c>
    </row>
    <row r="5" customFormat="false" ht="35.05" hidden="false" customHeight="false" outlineLevel="0" collapsed="false">
      <c r="A5" s="5" t="s">
        <v>17</v>
      </c>
      <c r="B5" s="6" t="s">
        <v>2166</v>
      </c>
      <c r="C5" s="6" t="s">
        <v>2167</v>
      </c>
      <c r="D5" s="6" t="s">
        <v>2160</v>
      </c>
    </row>
    <row r="6" customFormat="false" ht="23.85" hidden="false" customHeight="false" outlineLevel="0" collapsed="false">
      <c r="A6" s="5" t="s">
        <v>17</v>
      </c>
      <c r="B6" s="6" t="s">
        <v>2168</v>
      </c>
      <c r="C6" s="6" t="s">
        <v>2169</v>
      </c>
      <c r="D6" s="6" t="s">
        <v>2160</v>
      </c>
    </row>
    <row r="7" customFormat="false" ht="15" hidden="false" customHeight="false" outlineLevel="0" collapsed="false">
      <c r="A7" s="5" t="s">
        <v>17</v>
      </c>
      <c r="B7" s="6" t="s">
        <v>2170</v>
      </c>
      <c r="C7" s="6" t="s">
        <v>2171</v>
      </c>
      <c r="D7" s="6" t="s">
        <v>1382</v>
      </c>
    </row>
    <row r="8" customFormat="false" ht="23.85" hidden="false" customHeight="false" outlineLevel="0" collapsed="false">
      <c r="A8" s="5" t="s">
        <v>2172</v>
      </c>
      <c r="B8" s="6" t="s">
        <v>2173</v>
      </c>
      <c r="C8" s="6" t="s">
        <v>2174</v>
      </c>
      <c r="D8" s="6" t="s">
        <v>2160</v>
      </c>
    </row>
    <row r="9" customFormat="false" ht="23.85" hidden="false" customHeight="false" outlineLevel="0" collapsed="false">
      <c r="A9" s="5" t="s">
        <v>2175</v>
      </c>
      <c r="B9" s="6" t="s">
        <v>2176</v>
      </c>
      <c r="C9" s="6" t="s">
        <v>2177</v>
      </c>
      <c r="D9" s="6" t="s">
        <v>2160</v>
      </c>
    </row>
    <row r="10" customFormat="false" ht="23.85" hidden="false" customHeight="false" outlineLevel="0" collapsed="false">
      <c r="A10" s="5" t="s">
        <v>2178</v>
      </c>
      <c r="B10" s="6" t="s">
        <v>2179</v>
      </c>
      <c r="C10" s="6" t="s">
        <v>2180</v>
      </c>
      <c r="D10" s="6" t="s">
        <v>2160</v>
      </c>
    </row>
    <row r="11" customFormat="false" ht="23.85" hidden="false" customHeight="false" outlineLevel="0" collapsed="false">
      <c r="A11" s="5" t="s">
        <v>2181</v>
      </c>
      <c r="B11" s="6" t="s">
        <v>2182</v>
      </c>
      <c r="C11" s="6" t="s">
        <v>2183</v>
      </c>
      <c r="D11" s="6" t="s">
        <v>2160</v>
      </c>
    </row>
    <row r="12" customFormat="false" ht="35.05" hidden="false" customHeight="false" outlineLevel="0" collapsed="false">
      <c r="A12" s="5" t="s">
        <v>2184</v>
      </c>
      <c r="B12" s="6" t="s">
        <v>2185</v>
      </c>
      <c r="C12" s="6" t="s">
        <v>2186</v>
      </c>
      <c r="D12" s="6" t="s">
        <v>2160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30" hidden="false" customHeight="true" outlineLevel="0" collapsed="false">
      <c r="A1" s="4" t="s">
        <v>2187</v>
      </c>
      <c r="B1" s="4" t="s">
        <v>2188</v>
      </c>
    </row>
    <row r="2" customFormat="false" ht="35.05" hidden="false" customHeight="false" outlineLevel="0" collapsed="false">
      <c r="A2" s="5" t="s">
        <v>64</v>
      </c>
      <c r="B2" s="6" t="s">
        <v>2189</v>
      </c>
    </row>
    <row r="3" customFormat="false" ht="35.05" hidden="false" customHeight="false" outlineLevel="0" collapsed="false">
      <c r="A3" s="5" t="s">
        <v>71</v>
      </c>
      <c r="B3" s="6" t="s">
        <v>2190</v>
      </c>
    </row>
    <row r="4" customFormat="false" ht="15" hidden="false" customHeight="false" outlineLevel="0" collapsed="false">
      <c r="A4" s="15" t="s">
        <v>135</v>
      </c>
      <c r="B4" s="6" t="s">
        <v>2191</v>
      </c>
    </row>
    <row r="5" customFormat="false" ht="15" hidden="false" customHeight="false" outlineLevel="0" collapsed="false">
      <c r="A5" s="16" t="s">
        <v>391</v>
      </c>
      <c r="B5" s="6" t="s">
        <v>2192</v>
      </c>
    </row>
    <row r="6" customFormat="false" ht="15" hidden="false" customHeight="false" outlineLevel="0" collapsed="false">
      <c r="A6" s="17" t="s">
        <v>743</v>
      </c>
      <c r="B6" s="6" t="s">
        <v>2193</v>
      </c>
    </row>
    <row r="7" customFormat="false" ht="15" hidden="false" customHeight="false" outlineLevel="0" collapsed="false">
      <c r="A7" s="18" t="s">
        <v>136</v>
      </c>
      <c r="B7" s="6" t="s">
        <v>2194</v>
      </c>
    </row>
    <row r="8" customFormat="false" ht="15" hidden="false" customHeight="false" outlineLevel="0" collapsed="false">
      <c r="A8" s="5" t="s">
        <v>2195</v>
      </c>
      <c r="B8" s="6" t="s">
        <v>2196</v>
      </c>
    </row>
    <row r="9" customFormat="false" ht="15" hidden="false" customHeight="false" outlineLevel="0" collapsed="false">
      <c r="A9" s="20" t="s">
        <v>1639</v>
      </c>
      <c r="B9" s="6" t="s">
        <v>2197</v>
      </c>
    </row>
    <row r="10" customFormat="false" ht="15" hidden="false" customHeight="false" outlineLevel="0" collapsed="false">
      <c r="A10" s="20" t="s">
        <v>1735</v>
      </c>
      <c r="B10" s="6" t="s">
        <v>2198</v>
      </c>
    </row>
    <row r="11" customFormat="false" ht="15" hidden="false" customHeight="false" outlineLevel="0" collapsed="false">
      <c r="A11" s="5" t="s">
        <v>119</v>
      </c>
      <c r="B11" s="6" t="s">
        <v>2199</v>
      </c>
    </row>
    <row r="12" customFormat="false" ht="23.85" hidden="false" customHeight="false" outlineLevel="0" collapsed="false">
      <c r="A12" s="5" t="s">
        <v>121</v>
      </c>
      <c r="B12" s="6" t="s">
        <v>2200</v>
      </c>
    </row>
    <row r="13" customFormat="false" ht="15" hidden="false" customHeight="false" outlineLevel="0" collapsed="false">
      <c r="A13" s="5" t="s">
        <v>2201</v>
      </c>
      <c r="B13" s="6" t="s">
        <v>2202</v>
      </c>
    </row>
    <row r="14" customFormat="false" ht="15" hidden="false" customHeight="false" outlineLevel="0" collapsed="false">
      <c r="A14" s="5" t="s">
        <v>50</v>
      </c>
      <c r="B14" s="6" t="s">
        <v>2203</v>
      </c>
    </row>
    <row r="15" customFormat="false" ht="15" hidden="false" customHeight="false" outlineLevel="0" collapsed="false">
      <c r="A15" s="5" t="s">
        <v>2204</v>
      </c>
      <c r="B15" s="6" t="s">
        <v>2205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2026-10-09T17:55:00Z</dcterms:created>
  <dc:creator>openpyxl</dc:creator>
  <dc:description/>
  <dc:language>en-US</dc:language>
  <cp:lastModifiedBy/>
  <dcterms:modified xsi:type="dcterms:W3CDTF">2026-10-09T17:55:00Z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